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467294-1D13-47CA-B33C-A3AE252D99A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K109" i="1"/>
  <c r="K22" i="1"/>
  <c r="K25" i="1"/>
  <c r="K50" i="1"/>
  <c r="K15" i="1"/>
  <c r="K14" i="1"/>
  <c r="K112" i="1"/>
  <c r="K64" i="1"/>
  <c r="K115" i="1"/>
  <c r="K86" i="1"/>
  <c r="K49" i="1"/>
  <c r="K120" i="1"/>
  <c r="K74" i="1"/>
  <c r="K69" i="1"/>
  <c r="K93" i="1"/>
  <c r="K94" i="1"/>
  <c r="K99" i="1"/>
  <c r="K123" i="1"/>
  <c r="K42" i="1"/>
  <c r="K56" i="1"/>
  <c r="R8" i="1"/>
  <c r="R7" i="1"/>
  <c r="H4" i="1"/>
  <c r="H103" i="1"/>
  <c r="H109" i="1"/>
  <c r="H22" i="1"/>
  <c r="H105" i="1"/>
  <c r="H60" i="1"/>
  <c r="H71" i="1"/>
  <c r="H43" i="1"/>
  <c r="H76" i="1"/>
  <c r="H3" i="1"/>
  <c r="H25" i="1"/>
  <c r="H50" i="1"/>
  <c r="H88" i="1"/>
  <c r="H54" i="1"/>
  <c r="H33" i="1"/>
  <c r="H8" i="1"/>
  <c r="H89" i="1"/>
  <c r="H10" i="1"/>
  <c r="H15" i="1"/>
  <c r="H14" i="1"/>
  <c r="H48" i="1"/>
  <c r="H17" i="1"/>
  <c r="H19" i="1"/>
  <c r="H29" i="1"/>
  <c r="H40" i="1"/>
  <c r="H37" i="1"/>
  <c r="H112" i="1"/>
  <c r="H64" i="1"/>
  <c r="H32" i="1"/>
  <c r="H30" i="1"/>
  <c r="H2" i="1"/>
  <c r="H31" i="1"/>
  <c r="H114" i="1"/>
  <c r="H78" i="1"/>
  <c r="H115" i="1"/>
  <c r="H86" i="1"/>
  <c r="H117" i="1"/>
  <c r="H118" i="1"/>
  <c r="H66" i="1"/>
  <c r="H96" i="1"/>
  <c r="H44" i="1"/>
  <c r="H106" i="1"/>
  <c r="H49" i="1"/>
  <c r="H120" i="1"/>
  <c r="H82" i="1"/>
  <c r="H61" i="1"/>
  <c r="H77" i="1"/>
  <c r="H97" i="1"/>
  <c r="H68" i="1"/>
  <c r="H107" i="1"/>
  <c r="H75" i="1"/>
  <c r="H62" i="1"/>
  <c r="H34" i="1"/>
  <c r="H9" i="1"/>
  <c r="H18" i="1"/>
  <c r="H122" i="1"/>
  <c r="H102" i="1"/>
  <c r="H124" i="1"/>
  <c r="H24" i="1"/>
  <c r="H125" i="1"/>
  <c r="H100" i="1"/>
  <c r="H85" i="1"/>
  <c r="Q8" i="1"/>
  <c r="Q7" i="1"/>
  <c r="H101" i="1" s="1"/>
  <c r="P8" i="1"/>
  <c r="E101" i="1" s="1"/>
  <c r="P7" i="1"/>
  <c r="E59" i="1" s="1"/>
  <c r="J101" i="1"/>
  <c r="J98" i="1"/>
  <c r="J4" i="1"/>
  <c r="J103" i="1"/>
  <c r="J59" i="1"/>
  <c r="J45" i="1"/>
  <c r="J109" i="1"/>
  <c r="J22" i="1"/>
  <c r="J36" i="1"/>
  <c r="J92" i="1"/>
  <c r="J105" i="1"/>
  <c r="J60" i="1"/>
  <c r="J72" i="1"/>
  <c r="J41" i="1"/>
  <c r="J71" i="1"/>
  <c r="J43" i="1"/>
  <c r="J39" i="1"/>
  <c r="J12" i="1"/>
  <c r="J76" i="1"/>
  <c r="J3" i="1"/>
  <c r="J84" i="1"/>
  <c r="J79" i="1"/>
  <c r="J25" i="1"/>
  <c r="J50" i="1"/>
  <c r="J55" i="1"/>
  <c r="J65" i="1"/>
  <c r="J88" i="1"/>
  <c r="J54" i="1"/>
  <c r="J23" i="1"/>
  <c r="J27" i="1"/>
  <c r="J33" i="1"/>
  <c r="J8" i="1"/>
  <c r="J63" i="1"/>
  <c r="J91" i="1"/>
  <c r="J89" i="1"/>
  <c r="J10" i="1"/>
  <c r="J51" i="1"/>
  <c r="J110" i="1"/>
  <c r="J15" i="1"/>
  <c r="J14" i="1"/>
  <c r="J111" i="1"/>
  <c r="J95" i="1"/>
  <c r="J48" i="1"/>
  <c r="J17" i="1"/>
  <c r="J58" i="1"/>
  <c r="J35" i="1"/>
  <c r="J19" i="1"/>
  <c r="J29" i="1"/>
  <c r="J26" i="1"/>
  <c r="J53" i="1"/>
  <c r="J40" i="1"/>
  <c r="J37" i="1"/>
  <c r="J87" i="1"/>
  <c r="J6" i="1"/>
  <c r="J112" i="1"/>
  <c r="J64" i="1"/>
  <c r="J81" i="1"/>
  <c r="J13" i="1"/>
  <c r="J32" i="1"/>
  <c r="J30" i="1"/>
  <c r="J28" i="1"/>
  <c r="J113" i="1"/>
  <c r="J2" i="1"/>
  <c r="J31" i="1"/>
  <c r="J11" i="1"/>
  <c r="J5" i="1"/>
  <c r="J114" i="1"/>
  <c r="J78" i="1"/>
  <c r="J70" i="1"/>
  <c r="J67" i="1"/>
  <c r="J115" i="1"/>
  <c r="J86" i="1"/>
  <c r="J116" i="1"/>
  <c r="J7" i="1"/>
  <c r="J117" i="1"/>
  <c r="J118" i="1"/>
  <c r="J119" i="1"/>
  <c r="J90" i="1"/>
  <c r="J66" i="1"/>
  <c r="J96" i="1"/>
  <c r="J57" i="1"/>
  <c r="J20" i="1"/>
  <c r="J44" i="1"/>
  <c r="J106" i="1"/>
  <c r="J46" i="1"/>
  <c r="J16" i="1"/>
  <c r="J49" i="1"/>
  <c r="J120" i="1"/>
  <c r="J108" i="1"/>
  <c r="J80" i="1"/>
  <c r="J82" i="1"/>
  <c r="J61" i="1"/>
  <c r="J104" i="1"/>
  <c r="J83" i="1"/>
  <c r="J77" i="1"/>
  <c r="J97" i="1"/>
  <c r="J74" i="1"/>
  <c r="J69" i="1"/>
  <c r="J68" i="1"/>
  <c r="J107" i="1"/>
  <c r="J47" i="1"/>
  <c r="J38" i="1"/>
  <c r="J75" i="1"/>
  <c r="J62" i="1"/>
  <c r="J93" i="1"/>
  <c r="J94" i="1"/>
  <c r="J34" i="1"/>
  <c r="J9" i="1"/>
  <c r="J121" i="1"/>
  <c r="J21" i="1"/>
  <c r="J18" i="1"/>
  <c r="J122" i="1"/>
  <c r="J99" i="1"/>
  <c r="J123" i="1"/>
  <c r="J102" i="1"/>
  <c r="J124" i="1"/>
  <c r="J73" i="1"/>
  <c r="J52" i="1"/>
  <c r="J24" i="1"/>
  <c r="J125" i="1"/>
  <c r="J42" i="1"/>
  <c r="J56" i="1"/>
  <c r="J100" i="1"/>
  <c r="J85" i="1"/>
  <c r="G101" i="1"/>
  <c r="G98" i="1"/>
  <c r="G4" i="1"/>
  <c r="G103" i="1"/>
  <c r="G59" i="1"/>
  <c r="G45" i="1"/>
  <c r="G109" i="1"/>
  <c r="G22" i="1"/>
  <c r="G36" i="1"/>
  <c r="G92" i="1"/>
  <c r="G105" i="1"/>
  <c r="G60" i="1"/>
  <c r="G72" i="1"/>
  <c r="G41" i="1"/>
  <c r="G71" i="1"/>
  <c r="G43" i="1"/>
  <c r="G39" i="1"/>
  <c r="G12" i="1"/>
  <c r="G76" i="1"/>
  <c r="G3" i="1"/>
  <c r="G84" i="1"/>
  <c r="G79" i="1"/>
  <c r="G25" i="1"/>
  <c r="G50" i="1"/>
  <c r="G55" i="1"/>
  <c r="G65" i="1"/>
  <c r="G88" i="1"/>
  <c r="G54" i="1"/>
  <c r="G23" i="1"/>
  <c r="G27" i="1"/>
  <c r="G33" i="1"/>
  <c r="G8" i="1"/>
  <c r="G63" i="1"/>
  <c r="G91" i="1"/>
  <c r="G89" i="1"/>
  <c r="G10" i="1"/>
  <c r="G51" i="1"/>
  <c r="G110" i="1"/>
  <c r="G15" i="1"/>
  <c r="G14" i="1"/>
  <c r="G111" i="1"/>
  <c r="G95" i="1"/>
  <c r="G48" i="1"/>
  <c r="G17" i="1"/>
  <c r="G58" i="1"/>
  <c r="G35" i="1"/>
  <c r="G19" i="1"/>
  <c r="G29" i="1"/>
  <c r="G26" i="1"/>
  <c r="G53" i="1"/>
  <c r="G40" i="1"/>
  <c r="G37" i="1"/>
  <c r="G87" i="1"/>
  <c r="G6" i="1"/>
  <c r="G112" i="1"/>
  <c r="G64" i="1"/>
  <c r="G81" i="1"/>
  <c r="G13" i="1"/>
  <c r="G32" i="1"/>
  <c r="G30" i="1"/>
  <c r="G28" i="1"/>
  <c r="G113" i="1"/>
  <c r="G2" i="1"/>
  <c r="G31" i="1"/>
  <c r="G11" i="1"/>
  <c r="G5" i="1"/>
  <c r="G114" i="1"/>
  <c r="G78" i="1"/>
  <c r="G70" i="1"/>
  <c r="G67" i="1"/>
  <c r="G115" i="1"/>
  <c r="G86" i="1"/>
  <c r="G116" i="1"/>
  <c r="G7" i="1"/>
  <c r="G117" i="1"/>
  <c r="G118" i="1"/>
  <c r="G119" i="1"/>
  <c r="G90" i="1"/>
  <c r="G66" i="1"/>
  <c r="G96" i="1"/>
  <c r="G57" i="1"/>
  <c r="G20" i="1"/>
  <c r="G44" i="1"/>
  <c r="G106" i="1"/>
  <c r="G46" i="1"/>
  <c r="G16" i="1"/>
  <c r="G49" i="1"/>
  <c r="G120" i="1"/>
  <c r="G108" i="1"/>
  <c r="G80" i="1"/>
  <c r="G82" i="1"/>
  <c r="G61" i="1"/>
  <c r="G104" i="1"/>
  <c r="G83" i="1"/>
  <c r="G77" i="1"/>
  <c r="G97" i="1"/>
  <c r="G74" i="1"/>
  <c r="G69" i="1"/>
  <c r="G68" i="1"/>
  <c r="G107" i="1"/>
  <c r="G47" i="1"/>
  <c r="G38" i="1"/>
  <c r="G75" i="1"/>
  <c r="G62" i="1"/>
  <c r="G93" i="1"/>
  <c r="G94" i="1"/>
  <c r="G34" i="1"/>
  <c r="G9" i="1"/>
  <c r="G121" i="1"/>
  <c r="G21" i="1"/>
  <c r="G18" i="1"/>
  <c r="G122" i="1"/>
  <c r="G99" i="1"/>
  <c r="G123" i="1"/>
  <c r="G102" i="1"/>
  <c r="G124" i="1"/>
  <c r="G73" i="1"/>
  <c r="G52" i="1"/>
  <c r="G24" i="1"/>
  <c r="G125" i="1"/>
  <c r="G42" i="1"/>
  <c r="G56" i="1"/>
  <c r="G100" i="1"/>
  <c r="G85" i="1"/>
  <c r="D101" i="1"/>
  <c r="D98" i="1"/>
  <c r="D4" i="1"/>
  <c r="D103" i="1"/>
  <c r="D59" i="1"/>
  <c r="D45" i="1"/>
  <c r="D109" i="1"/>
  <c r="D22" i="1"/>
  <c r="D36" i="1"/>
  <c r="D92" i="1"/>
  <c r="D105" i="1"/>
  <c r="D60" i="1"/>
  <c r="D72" i="1"/>
  <c r="D41" i="1"/>
  <c r="D71" i="1"/>
  <c r="D43" i="1"/>
  <c r="D39" i="1"/>
  <c r="D12" i="1"/>
  <c r="D76" i="1"/>
  <c r="D3" i="1"/>
  <c r="D84" i="1"/>
  <c r="D79" i="1"/>
  <c r="D25" i="1"/>
  <c r="D50" i="1"/>
  <c r="D55" i="1"/>
  <c r="D65" i="1"/>
  <c r="D88" i="1"/>
  <c r="D54" i="1"/>
  <c r="D23" i="1"/>
  <c r="D27" i="1"/>
  <c r="D33" i="1"/>
  <c r="D8" i="1"/>
  <c r="D63" i="1"/>
  <c r="D91" i="1"/>
  <c r="D89" i="1"/>
  <c r="D10" i="1"/>
  <c r="D51" i="1"/>
  <c r="D110" i="1"/>
  <c r="D15" i="1"/>
  <c r="D14" i="1"/>
  <c r="D111" i="1"/>
  <c r="D95" i="1"/>
  <c r="D48" i="1"/>
  <c r="D17" i="1"/>
  <c r="D58" i="1"/>
  <c r="D35" i="1"/>
  <c r="D19" i="1"/>
  <c r="D29" i="1"/>
  <c r="D26" i="1"/>
  <c r="D53" i="1"/>
  <c r="D40" i="1"/>
  <c r="D37" i="1"/>
  <c r="D87" i="1"/>
  <c r="D6" i="1"/>
  <c r="D112" i="1"/>
  <c r="D64" i="1"/>
  <c r="D81" i="1"/>
  <c r="D13" i="1"/>
  <c r="D32" i="1"/>
  <c r="D30" i="1"/>
  <c r="D28" i="1"/>
  <c r="D113" i="1"/>
  <c r="D2" i="1"/>
  <c r="D31" i="1"/>
  <c r="D11" i="1"/>
  <c r="D5" i="1"/>
  <c r="D114" i="1"/>
  <c r="D78" i="1"/>
  <c r="D70" i="1"/>
  <c r="D67" i="1"/>
  <c r="D115" i="1"/>
  <c r="D86" i="1"/>
  <c r="D116" i="1"/>
  <c r="D7" i="1"/>
  <c r="D117" i="1"/>
  <c r="D118" i="1"/>
  <c r="D119" i="1"/>
  <c r="D90" i="1"/>
  <c r="D66" i="1"/>
  <c r="D96" i="1"/>
  <c r="D57" i="1"/>
  <c r="D20" i="1"/>
  <c r="D44" i="1"/>
  <c r="D106" i="1"/>
  <c r="D46" i="1"/>
  <c r="D16" i="1"/>
  <c r="D49" i="1"/>
  <c r="D120" i="1"/>
  <c r="D108" i="1"/>
  <c r="D80" i="1"/>
  <c r="D82" i="1"/>
  <c r="D61" i="1"/>
  <c r="D104" i="1"/>
  <c r="D83" i="1"/>
  <c r="D77" i="1"/>
  <c r="D97" i="1"/>
  <c r="D74" i="1"/>
  <c r="D69" i="1"/>
  <c r="D68" i="1"/>
  <c r="D107" i="1"/>
  <c r="D47" i="1"/>
  <c r="D38" i="1"/>
  <c r="D75" i="1"/>
  <c r="D62" i="1"/>
  <c r="D93" i="1"/>
  <c r="D94" i="1"/>
  <c r="D34" i="1"/>
  <c r="D9" i="1"/>
  <c r="D121" i="1"/>
  <c r="D21" i="1"/>
  <c r="D18" i="1"/>
  <c r="D122" i="1"/>
  <c r="D99" i="1"/>
  <c r="D123" i="1"/>
  <c r="D102" i="1"/>
  <c r="D124" i="1"/>
  <c r="D73" i="1"/>
  <c r="D52" i="1"/>
  <c r="D24" i="1"/>
  <c r="D125" i="1"/>
  <c r="D42" i="1"/>
  <c r="D56" i="1"/>
  <c r="D100" i="1"/>
  <c r="D85" i="1"/>
  <c r="O3" i="1"/>
  <c r="O5" i="1"/>
  <c r="E73" i="1" l="1"/>
  <c r="E93" i="1"/>
  <c r="E74" i="1"/>
  <c r="E104" i="1"/>
  <c r="E108" i="1"/>
  <c r="E46" i="1"/>
  <c r="E57" i="1"/>
  <c r="E119" i="1"/>
  <c r="E116" i="1"/>
  <c r="E70" i="1"/>
  <c r="E28" i="1"/>
  <c r="E81" i="1"/>
  <c r="E87" i="1"/>
  <c r="E26" i="1"/>
  <c r="E58" i="1"/>
  <c r="E111" i="1"/>
  <c r="E51" i="1"/>
  <c r="E63" i="1"/>
  <c r="E23" i="1"/>
  <c r="E55" i="1"/>
  <c r="E84" i="1"/>
  <c r="E39" i="1"/>
  <c r="E72" i="1"/>
  <c r="E109" i="1"/>
  <c r="E98" i="1"/>
  <c r="E125" i="1"/>
  <c r="E122" i="1"/>
  <c r="E62" i="1"/>
  <c r="E97" i="1"/>
  <c r="E120" i="1"/>
  <c r="E106" i="1"/>
  <c r="E118" i="1"/>
  <c r="E78" i="1"/>
  <c r="E30" i="1"/>
  <c r="E37" i="1"/>
  <c r="E17" i="1"/>
  <c r="E8" i="1"/>
  <c r="L8" i="1" s="1"/>
  <c r="E50" i="1"/>
  <c r="E43" i="1"/>
  <c r="E45" i="1"/>
  <c r="E100" i="1"/>
  <c r="E24" i="1"/>
  <c r="E102" i="1"/>
  <c r="E18" i="1"/>
  <c r="E34" i="1"/>
  <c r="E75" i="1"/>
  <c r="E68" i="1"/>
  <c r="E77" i="1"/>
  <c r="E82" i="1"/>
  <c r="E49" i="1"/>
  <c r="E44" i="1"/>
  <c r="E66" i="1"/>
  <c r="E117" i="1"/>
  <c r="E115" i="1"/>
  <c r="E114" i="1"/>
  <c r="E2" i="1"/>
  <c r="L2" i="1" s="1"/>
  <c r="E32" i="1"/>
  <c r="L32" i="1" s="1"/>
  <c r="E112" i="1"/>
  <c r="E40" i="1"/>
  <c r="E19" i="1"/>
  <c r="L19" i="1" s="1"/>
  <c r="E48" i="1"/>
  <c r="E15" i="1"/>
  <c r="L15" i="1" s="1"/>
  <c r="E89" i="1"/>
  <c r="E33" i="1"/>
  <c r="E88" i="1"/>
  <c r="E25" i="1"/>
  <c r="L25" i="1" s="1"/>
  <c r="E76" i="1"/>
  <c r="E71" i="1"/>
  <c r="E92" i="1"/>
  <c r="K101" i="1"/>
  <c r="K59" i="1"/>
  <c r="K36" i="1"/>
  <c r="K72" i="1"/>
  <c r="K39" i="1"/>
  <c r="K84" i="1"/>
  <c r="K55" i="1"/>
  <c r="K23" i="1"/>
  <c r="K63" i="1"/>
  <c r="K51" i="1"/>
  <c r="K111" i="1"/>
  <c r="K58" i="1"/>
  <c r="K26" i="1"/>
  <c r="K87" i="1"/>
  <c r="K81" i="1"/>
  <c r="K28" i="1"/>
  <c r="K11" i="1"/>
  <c r="K70" i="1"/>
  <c r="K116" i="1"/>
  <c r="K119" i="1"/>
  <c r="K57" i="1"/>
  <c r="K46" i="1"/>
  <c r="K108" i="1"/>
  <c r="K98" i="1"/>
  <c r="K45" i="1"/>
  <c r="K92" i="1"/>
  <c r="K41" i="1"/>
  <c r="K12" i="1"/>
  <c r="K79" i="1"/>
  <c r="K65" i="1"/>
  <c r="K27" i="1"/>
  <c r="K91" i="1"/>
  <c r="K110" i="1"/>
  <c r="K95" i="1"/>
  <c r="K35" i="1"/>
  <c r="K53" i="1"/>
  <c r="K6" i="1"/>
  <c r="K13" i="1"/>
  <c r="K113" i="1"/>
  <c r="K5" i="1"/>
  <c r="K67" i="1"/>
  <c r="K7" i="1"/>
  <c r="K90" i="1"/>
  <c r="K20" i="1"/>
  <c r="K16" i="1"/>
  <c r="K80" i="1"/>
  <c r="K4" i="1"/>
  <c r="K105" i="1"/>
  <c r="K76" i="1"/>
  <c r="K88" i="1"/>
  <c r="K89" i="1"/>
  <c r="K48" i="1"/>
  <c r="K40" i="1"/>
  <c r="K32" i="1"/>
  <c r="K114" i="1"/>
  <c r="K117" i="1"/>
  <c r="K44" i="1"/>
  <c r="K82" i="1"/>
  <c r="K77" i="1"/>
  <c r="K68" i="1"/>
  <c r="K75" i="1"/>
  <c r="K34" i="1"/>
  <c r="K18" i="1"/>
  <c r="K102" i="1"/>
  <c r="K24" i="1"/>
  <c r="K100" i="1"/>
  <c r="K103" i="1"/>
  <c r="K60" i="1"/>
  <c r="K3" i="1"/>
  <c r="K54" i="1"/>
  <c r="K10" i="1"/>
  <c r="K17" i="1"/>
  <c r="K37" i="1"/>
  <c r="K30" i="1"/>
  <c r="K78" i="1"/>
  <c r="K118" i="1"/>
  <c r="K106" i="1"/>
  <c r="K61" i="1"/>
  <c r="K97" i="1"/>
  <c r="K107" i="1"/>
  <c r="K62" i="1"/>
  <c r="K9" i="1"/>
  <c r="K122" i="1"/>
  <c r="K124" i="1"/>
  <c r="K125" i="1"/>
  <c r="K85" i="1"/>
  <c r="K52" i="1"/>
  <c r="K21" i="1"/>
  <c r="K38" i="1"/>
  <c r="K83" i="1"/>
  <c r="K96" i="1"/>
  <c r="K31" i="1"/>
  <c r="K29" i="1"/>
  <c r="K8" i="1"/>
  <c r="K43" i="1"/>
  <c r="E42" i="1"/>
  <c r="E99" i="1"/>
  <c r="E121" i="1"/>
  <c r="E47" i="1"/>
  <c r="E85" i="1"/>
  <c r="E124" i="1"/>
  <c r="E9" i="1"/>
  <c r="L9" i="1" s="1"/>
  <c r="E107" i="1"/>
  <c r="E61" i="1"/>
  <c r="E96" i="1"/>
  <c r="E86" i="1"/>
  <c r="E31" i="1"/>
  <c r="E64" i="1"/>
  <c r="E29" i="1"/>
  <c r="L29" i="1" s="1"/>
  <c r="E14" i="1"/>
  <c r="L14" i="1" s="1"/>
  <c r="E10" i="1"/>
  <c r="L10" i="1" s="1"/>
  <c r="E54" i="1"/>
  <c r="E3" i="1"/>
  <c r="L3" i="1" s="1"/>
  <c r="E105" i="1"/>
  <c r="E103" i="1"/>
  <c r="E22" i="1"/>
  <c r="L22" i="1" s="1"/>
  <c r="E60" i="1"/>
  <c r="E56" i="1"/>
  <c r="E52" i="1"/>
  <c r="E123" i="1"/>
  <c r="E21" i="1"/>
  <c r="E94" i="1"/>
  <c r="E38" i="1"/>
  <c r="L38" i="1" s="1"/>
  <c r="E69" i="1"/>
  <c r="E83" i="1"/>
  <c r="E80" i="1"/>
  <c r="E16" i="1"/>
  <c r="L16" i="1" s="1"/>
  <c r="E20" i="1"/>
  <c r="L20" i="1" s="1"/>
  <c r="E90" i="1"/>
  <c r="E7" i="1"/>
  <c r="E67" i="1"/>
  <c r="E5" i="1"/>
  <c r="L5" i="1" s="1"/>
  <c r="E113" i="1"/>
  <c r="E13" i="1"/>
  <c r="E6" i="1"/>
  <c r="L6" i="1" s="1"/>
  <c r="E53" i="1"/>
  <c r="E35" i="1"/>
  <c r="E95" i="1"/>
  <c r="E110" i="1"/>
  <c r="E91" i="1"/>
  <c r="E27" i="1"/>
  <c r="E65" i="1"/>
  <c r="E79" i="1"/>
  <c r="E12" i="1"/>
  <c r="L12" i="1" s="1"/>
  <c r="E41" i="1"/>
  <c r="E36" i="1"/>
  <c r="E4" i="1"/>
  <c r="L4" i="1" s="1"/>
  <c r="K73" i="1"/>
  <c r="K121" i="1"/>
  <c r="K47" i="1"/>
  <c r="K104" i="1"/>
  <c r="K66" i="1"/>
  <c r="K2" i="1"/>
  <c r="K19" i="1"/>
  <c r="K33" i="1"/>
  <c r="K71" i="1"/>
  <c r="H56" i="1"/>
  <c r="H52" i="1"/>
  <c r="H123" i="1"/>
  <c r="H21" i="1"/>
  <c r="H94" i="1"/>
  <c r="H38" i="1"/>
  <c r="H69" i="1"/>
  <c r="H83" i="1"/>
  <c r="H80" i="1"/>
  <c r="H16" i="1"/>
  <c r="H20" i="1"/>
  <c r="H90" i="1"/>
  <c r="H7" i="1"/>
  <c r="H67" i="1"/>
  <c r="H5" i="1"/>
  <c r="H113" i="1"/>
  <c r="H13" i="1"/>
  <c r="H6" i="1"/>
  <c r="H53" i="1"/>
  <c r="H35" i="1"/>
  <c r="H95" i="1"/>
  <c r="H110" i="1"/>
  <c r="H91" i="1"/>
  <c r="H27" i="1"/>
  <c r="H65" i="1"/>
  <c r="H79" i="1"/>
  <c r="H12" i="1"/>
  <c r="H41" i="1"/>
  <c r="H92" i="1"/>
  <c r="H45" i="1"/>
  <c r="H98" i="1"/>
  <c r="H42" i="1"/>
  <c r="H73" i="1"/>
  <c r="H99" i="1"/>
  <c r="H121" i="1"/>
  <c r="H93" i="1"/>
  <c r="H47" i="1"/>
  <c r="H74" i="1"/>
  <c r="H104" i="1"/>
  <c r="H108" i="1"/>
  <c r="H46" i="1"/>
  <c r="H57" i="1"/>
  <c r="H119" i="1"/>
  <c r="H116" i="1"/>
  <c r="H70" i="1"/>
  <c r="H11" i="1"/>
  <c r="H28" i="1"/>
  <c r="H81" i="1"/>
  <c r="H87" i="1"/>
  <c r="H26" i="1"/>
  <c r="H58" i="1"/>
  <c r="H111" i="1"/>
  <c r="H51" i="1"/>
  <c r="H63" i="1"/>
  <c r="H23" i="1"/>
  <c r="H55" i="1"/>
  <c r="H84" i="1"/>
  <c r="H39" i="1"/>
  <c r="H72" i="1"/>
  <c r="H36" i="1"/>
  <c r="H59" i="1"/>
  <c r="L18" i="1" l="1"/>
  <c r="L17" i="1"/>
  <c r="L36" i="1"/>
  <c r="L13" i="1"/>
  <c r="L7" i="1"/>
  <c r="L37" i="1"/>
  <c r="L23" i="1"/>
  <c r="L28" i="1"/>
  <c r="L27" i="1"/>
  <c r="L35" i="1"/>
  <c r="L21" i="1"/>
  <c r="L24" i="1"/>
  <c r="L30" i="1"/>
  <c r="L39" i="1"/>
  <c r="L26" i="1"/>
  <c r="L11" i="1"/>
  <c r="M30" i="1" l="1"/>
  <c r="M25" i="1"/>
  <c r="M29" i="1"/>
  <c r="M27" i="1"/>
  <c r="M4" i="1"/>
  <c r="M22" i="1"/>
  <c r="M23" i="1"/>
  <c r="M6" i="1"/>
  <c r="M7" i="1"/>
  <c r="M32" i="1"/>
  <c r="M12" i="1"/>
  <c r="M11" i="1"/>
  <c r="M24" i="1"/>
  <c r="M5" i="1"/>
  <c r="M28" i="1"/>
  <c r="M9" i="1"/>
  <c r="M13" i="1"/>
  <c r="M17" i="1"/>
  <c r="M2" i="1"/>
  <c r="M19" i="1"/>
  <c r="M37" i="1"/>
  <c r="M14" i="1"/>
  <c r="M18" i="1"/>
  <c r="M39" i="1"/>
  <c r="M3" i="1"/>
  <c r="M38" i="1"/>
  <c r="M8" i="1"/>
  <c r="M36" i="1"/>
  <c r="M10" i="1"/>
  <c r="M26" i="1"/>
  <c r="M15" i="1"/>
  <c r="M21" i="1"/>
  <c r="M35" i="1"/>
  <c r="M16" i="1"/>
  <c r="M20" i="1"/>
</calcChain>
</file>

<file path=xl/sharedStrings.xml><?xml version="1.0" encoding="utf-8"?>
<sst xmlns="http://schemas.openxmlformats.org/spreadsheetml/2006/main" count="315" uniqueCount="133">
  <si>
    <t>P.MATHIYARASAN</t>
  </si>
  <si>
    <t>S.SANKEERTHAN</t>
  </si>
  <si>
    <t>M.THENINPAN</t>
  </si>
  <si>
    <t>K.BANUJAN</t>
  </si>
  <si>
    <t>L.SHARYJAN</t>
  </si>
  <si>
    <t>T.THANUYAN</t>
  </si>
  <si>
    <t>P.ARULMAINTHAN</t>
  </si>
  <si>
    <t>K.THERVINTHAN</t>
  </si>
  <si>
    <t>K.VITHUSAN</t>
  </si>
  <si>
    <t>T.ARULOVIYAN</t>
  </si>
  <si>
    <t>N.THULASITHARAN</t>
  </si>
  <si>
    <t>M.THAMILKUMARAN</t>
  </si>
  <si>
    <t>S.SIVARUBY</t>
  </si>
  <si>
    <t>T.SATHIYAMOORTHY</t>
  </si>
  <si>
    <t>T.THENILAVAN</t>
  </si>
  <si>
    <t>J.AKANILAVAN</t>
  </si>
  <si>
    <t>V.ANPARUVY</t>
  </si>
  <si>
    <t>N.THANKURINCHY</t>
  </si>
  <si>
    <t>K.SUVATHIKA</t>
  </si>
  <si>
    <t>S.PAVAYALINI</t>
  </si>
  <si>
    <t>K.NIKETHIKA</t>
  </si>
  <si>
    <t>S.SANKAVI</t>
  </si>
  <si>
    <t>S.KARUNJAN</t>
  </si>
  <si>
    <t>S.VIPULAN</t>
  </si>
  <si>
    <t>S.THAMILARASAN</t>
  </si>
  <si>
    <t>K.MANALAN</t>
  </si>
  <si>
    <t>T.THIRUKKUMARAN</t>
  </si>
  <si>
    <t>S.KAPILAN</t>
  </si>
  <si>
    <t>V.ABARNA</t>
  </si>
  <si>
    <t>T.DUSHANTH</t>
  </si>
  <si>
    <t>J.JATHURSIKA</t>
  </si>
  <si>
    <t>S.THENUJAN</t>
  </si>
  <si>
    <t>S.PAVISANTH</t>
  </si>
  <si>
    <t>P.EELAMATHI</t>
  </si>
  <si>
    <t>M.INPARAJ</t>
  </si>
  <si>
    <t>R.NILAVARASAN</t>
  </si>
  <si>
    <t>A.NILAVAN</t>
  </si>
  <si>
    <t>S.KALAIYARASAN</t>
  </si>
  <si>
    <t>M.KEERTHTHANA</t>
  </si>
  <si>
    <t>S.PAVANA</t>
  </si>
  <si>
    <t>T.SATHUJAN</t>
  </si>
  <si>
    <t>V.PAVISANA</t>
  </si>
  <si>
    <t>R.YATHUSHA</t>
  </si>
  <si>
    <t>G.YALISHAI</t>
  </si>
  <si>
    <t>S.KISHALAN</t>
  </si>
  <si>
    <t>S.RUKALINY</t>
  </si>
  <si>
    <t>S.PRINTHIKAN</t>
  </si>
  <si>
    <t>P.NATHEESHA</t>
  </si>
  <si>
    <t>S.SARUJAN</t>
  </si>
  <si>
    <t>M.KAAVINYA</t>
  </si>
  <si>
    <t>S.DILOSAN</t>
  </si>
  <si>
    <t>N.KOKILAPPIRIYA</t>
  </si>
  <si>
    <t>M.NISAN</t>
  </si>
  <si>
    <t>A.ISAIPITIYAN</t>
  </si>
  <si>
    <t>V.DARSHAJINY</t>
  </si>
  <si>
    <t>J.DEFIRIN</t>
  </si>
  <si>
    <t>M.SATHURTHTHIKA</t>
  </si>
  <si>
    <t>N.THIRUKKUMARAN</t>
  </si>
  <si>
    <t>S.KOBITHAN</t>
  </si>
  <si>
    <t>J.PIRIYANTHAN</t>
  </si>
  <si>
    <t>K.SAKEETHAN</t>
  </si>
  <si>
    <t>K.MOHANAPPRIYAN</t>
  </si>
  <si>
    <t>V.ABISHAN</t>
  </si>
  <si>
    <t>I.SUBIRAJ</t>
  </si>
  <si>
    <t>N.KAVISHALINI</t>
  </si>
  <si>
    <t>S.THUVARAKAN</t>
  </si>
  <si>
    <t>V.ANANJIYAN</t>
  </si>
  <si>
    <t>S.SUDARKANIYAN</t>
  </si>
  <si>
    <t>A.JASIKAN</t>
  </si>
  <si>
    <t>J.JENEETH</t>
  </si>
  <si>
    <t>S.SAKIRTHYAN</t>
  </si>
  <si>
    <t>J.SEERALAN</t>
  </si>
  <si>
    <t>P.OVIYAN</t>
  </si>
  <si>
    <t>A.THIKANA</t>
  </si>
  <si>
    <t>A.KANITHTHAMIL</t>
  </si>
  <si>
    <t>J.ANUSIKAN</t>
  </si>
  <si>
    <t>S.SAATHURIYAN</t>
  </si>
  <si>
    <t>K.KETHUJAN</t>
  </si>
  <si>
    <t>S.VANCHIKUMARAN</t>
  </si>
  <si>
    <t>V.NITHUJAN</t>
  </si>
  <si>
    <t>K.KOPITHAN</t>
  </si>
  <si>
    <t>R.THARANIYAN</t>
  </si>
  <si>
    <t>K.KAVINYA</t>
  </si>
  <si>
    <t>V.JANUSAN</t>
  </si>
  <si>
    <t>P.KUYALINY</t>
  </si>
  <si>
    <t>U.TINOJAN</t>
  </si>
  <si>
    <t>T.ANBARASAN</t>
  </si>
  <si>
    <t>T.ARANY</t>
  </si>
  <si>
    <t>I.KARISHRAJ</t>
  </si>
  <si>
    <t>S.SHANUJAN</t>
  </si>
  <si>
    <t>T.THARUN</t>
  </si>
  <si>
    <t>M.KAYALVILY</t>
  </si>
  <si>
    <t>S.SIVASEELAN</t>
  </si>
  <si>
    <t>R.SASITHARAN</t>
  </si>
  <si>
    <t>K.SHATHURIYAN</t>
  </si>
  <si>
    <t>S.THARMIKAN</t>
  </si>
  <si>
    <t>FULL NAME</t>
  </si>
  <si>
    <t>INDEX NUMBER</t>
  </si>
  <si>
    <t>J.DILANI</t>
  </si>
  <si>
    <t>S.SIVANUYAN</t>
  </si>
  <si>
    <t>M.ARULAN</t>
  </si>
  <si>
    <t>V.THAMILVALUTHY</t>
  </si>
  <si>
    <t>S.SHARUJAN</t>
  </si>
  <si>
    <t>J.JATHURSAN</t>
  </si>
  <si>
    <t>N.DIROSAN</t>
  </si>
  <si>
    <t>R.MATHUMITHAN</t>
  </si>
  <si>
    <t>K.NIROSHAN</t>
  </si>
  <si>
    <t>S.SARANKAN</t>
  </si>
  <si>
    <t>S.SEVVILAIYAN</t>
  </si>
  <si>
    <t>A.HEERAN</t>
  </si>
  <si>
    <t>J.NEELAKKANNAN</t>
  </si>
  <si>
    <t>J.KALAIJUGAN</t>
  </si>
  <si>
    <t>P.THUVARANGAN</t>
  </si>
  <si>
    <t>K.AKANAMUTHAN</t>
  </si>
  <si>
    <t>K.SHATHANA</t>
  </si>
  <si>
    <t>M.SHAINISHARON</t>
  </si>
  <si>
    <t>T.ISAIVILI</t>
  </si>
  <si>
    <t>T.ATHURSHA</t>
  </si>
  <si>
    <t>P.YALNILA</t>
  </si>
  <si>
    <t>A.JATHUSA</t>
  </si>
  <si>
    <t>T.ALAKUMOLI</t>
  </si>
  <si>
    <t>R.KAVINILA</t>
  </si>
  <si>
    <t>S.SASINTHAN</t>
  </si>
  <si>
    <t>K.KAYALVILY</t>
  </si>
  <si>
    <t>K.SENTHOORAN</t>
  </si>
  <si>
    <t>MATHS</t>
  </si>
  <si>
    <t>GRADE</t>
  </si>
  <si>
    <t>Z</t>
  </si>
  <si>
    <t>PHY</t>
  </si>
  <si>
    <t>CHE</t>
  </si>
  <si>
    <t>Z.Average</t>
  </si>
  <si>
    <t>Rank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</si>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</sst>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"/>
  <sheetViews>
    <sheetView tabSelected="1" workbookViewId="0">
      <selection activeCell="L2" sqref="L2:L1048576"/>
    </sheetView>
  </sheetViews>
  <sheetFormatPr defaultRowHeight="15" x14ac:dyDescent="0.25"/>
  <cols>
    <col min="1" max="1" width="21.42578125" bestFit="1" customWidth="1"/>
    <col min="2" max="2" width="14.7109375" style="1" bestFit="1" customWidth="1"/>
    <col min="5" max="5" width="9.140625" style="5"/>
    <col min="8" max="8" width="9.140625" style="5"/>
    <col min="11" max="11" width="9.140625" style="5"/>
    <col min="12" max="12" width="9.42578125" customWidth="1"/>
  </cols>
  <sheetData>
    <row r="1" spans="1:18" x14ac:dyDescent="0.25">
      <c r="A1" s="2" t="s">
        <v>96</v>
      </c>
      <c r="B1" s="2" t="s">
        <v>97</v>
      </c>
      <c r="C1" s="7" t="s">
        <v>125</v>
      </c>
      <c r="D1" s="7" t="s">
        <v>126</v>
      </c>
      <c r="E1" s="8" t="s">
        <v>127</v>
      </c>
      <c r="F1" s="7" t="s">
        <v>128</v>
      </c>
      <c r="G1" s="7" t="s">
        <v>126</v>
      </c>
      <c r="H1" s="8" t="s">
        <v>127</v>
      </c>
      <c r="I1" s="7" t="s">
        <v>129</v>
      </c>
      <c r="J1" s="7" t="s">
        <v>126</v>
      </c>
      <c r="K1" s="8" t="s">
        <v>127</v>
      </c>
      <c r="L1" s="7" t="s">
        <v>130</v>
      </c>
      <c r="M1" s="7" t="s">
        <v>131</v>
      </c>
    </row>
    <row r="2" spans="1:18" x14ac:dyDescent="0.25">
      <c r="A2" t="s">
        <v>52</v>
      </c>
      <c r="B2" s="1">
        <v>2007260</v>
      </c>
      <c r="C2">
        <v>70</v>
      </c>
      <c r="D2" t="str">
        <f>IF(C2="0","AB",IF(C2&gt;=67,"A",IF(C2&gt;=58,"B",IF(C2&gt;=43,"C",IF(C2&gt;=20,"S","W")))))</f>
        <v>A</v>
      </c>
      <c r="E2" s="5">
        <f>(C2-$P$7)/$P$8</f>
        <v>3.1966589720666425</v>
      </c>
      <c r="F2">
        <v>40</v>
      </c>
      <c r="G2" t="str">
        <f>IF(F2="0","AB",IF(F2&gt;=67,"A",IF(F2&gt;=58,"B",IF(F2&gt;=43,"C",IF(F2&gt;=20,"S","W")))))</f>
        <v>S</v>
      </c>
      <c r="H2" s="5">
        <f>(F2-$Q$7)/$Q$8</f>
        <v>1.4812633521616365</v>
      </c>
      <c r="I2">
        <v>47</v>
      </c>
      <c r="J2" t="str">
        <f>IF(I2="0","AB",IF(I2&gt;=67,"A",IF(I2&gt;=58,"B",IF(I2&gt;=43,"C",IF(I2&gt;=20,"S","W")))))</f>
        <v>C</v>
      </c>
      <c r="K2" s="5">
        <f>(I2-$R$7)/$R$8</f>
        <v>2.5295857144673808</v>
      </c>
      <c r="L2" s="5">
        <f>AVERAGE(E2,H2,K2)</f>
        <v>2.4025026795652198</v>
      </c>
      <c r="M2">
        <f>RANK(L2,$L$2:$L$125)</f>
        <v>1</v>
      </c>
    </row>
    <row r="3" spans="1:18" x14ac:dyDescent="0.25">
      <c r="A3" t="s">
        <v>20</v>
      </c>
      <c r="B3" s="1">
        <v>2007159</v>
      </c>
      <c r="C3">
        <v>62.5</v>
      </c>
      <c r="D3" t="str">
        <f>IF(C3="0","AB",IF(C3&gt;=67,"A",IF(C3&gt;=58,"B",IF(C3&gt;=43,"C",IF(C3&gt;=20,"S","W")))))</f>
        <v>B</v>
      </c>
      <c r="E3" s="5">
        <f>(C3-$P$7)/$P$8</f>
        <v>2.7148630476233322</v>
      </c>
      <c r="F3">
        <v>45</v>
      </c>
      <c r="G3" t="str">
        <f>IF(F3="0","AB",IF(F3&gt;=67,"A",IF(F3&gt;=58,"B",IF(F3&gt;=43,"C",IF(F3&gt;=20,"S","W")))))</f>
        <v>C</v>
      </c>
      <c r="H3" s="5">
        <f>(F3-$Q$7)/$Q$8</f>
        <v>1.8419794866236219</v>
      </c>
      <c r="I3">
        <v>40</v>
      </c>
      <c r="J3" t="str">
        <f>IF(I3="0","AB",IF(I3&gt;=67,"A",IF(I3&gt;=58,"B",IF(I3&gt;=43,"C",IF(I3&gt;=20,"S","W")))))</f>
        <v>S</v>
      </c>
      <c r="K3" s="5">
        <f>(I3-$R$7)/$R$8</f>
        <v>1.9953569066431263</v>
      </c>
      <c r="L3" s="5">
        <f>AVERAGE(E3,H3,K3)</f>
        <v>2.1840664802966931</v>
      </c>
      <c r="M3">
        <f>RANK(L3,$L$2:$L$125)</f>
        <v>2</v>
      </c>
      <c r="O3">
        <f>COUNT(I2:I125)</f>
        <v>124</v>
      </c>
    </row>
    <row r="4" spans="1:18" x14ac:dyDescent="0.25">
      <c r="A4" t="s">
        <v>3</v>
      </c>
      <c r="B4" s="1">
        <v>2007109</v>
      </c>
      <c r="C4">
        <v>44.5</v>
      </c>
      <c r="D4" t="str">
        <f>IF(C4="0","AB",IF(C4&gt;=67,"A",IF(C4&gt;=58,"B",IF(C4&gt;=43,"C",IF(C4&gt;=20,"S","W")))))</f>
        <v>C</v>
      </c>
      <c r="E4" s="5">
        <f>(C4-$P$7)/$P$8</f>
        <v>1.558552828959388</v>
      </c>
      <c r="F4">
        <v>44</v>
      </c>
      <c r="G4" t="str">
        <f>IF(F4="0","AB",IF(F4&gt;=67,"A",IF(F4&gt;=58,"B",IF(F4&gt;=43,"C",IF(F4&gt;=20,"S","W")))))</f>
        <v>C</v>
      </c>
      <c r="H4" s="5">
        <f>(F4-$Q$7)/$Q$8</f>
        <v>1.7698362597312249</v>
      </c>
      <c r="I4">
        <v>46</v>
      </c>
      <c r="J4" t="str">
        <f>IF(I4="0","AB",IF(I4&gt;=67,"A",IF(I4&gt;=58,"B",IF(I4&gt;=43,"C",IF(I4&gt;=20,"S","W")))))</f>
        <v>C</v>
      </c>
      <c r="K4" s="5">
        <f>(I4-$R$7)/$R$8</f>
        <v>2.4532673133496301</v>
      </c>
      <c r="L4" s="5">
        <f>AVERAGE(E4,H4,K4)</f>
        <v>1.927218800680081</v>
      </c>
      <c r="M4">
        <f>RANK(L4,$L$2:$L$125)</f>
        <v>3</v>
      </c>
    </row>
    <row r="5" spans="1:18" x14ac:dyDescent="0.25">
      <c r="A5" t="s">
        <v>55</v>
      </c>
      <c r="B5" s="1">
        <v>2007263</v>
      </c>
      <c r="C5">
        <v>56.5</v>
      </c>
      <c r="D5" t="str">
        <f>IF(C5="0","AB",IF(C5&gt;=67,"A",IF(C5&gt;=58,"B",IF(C5&gt;=43,"C",IF(C5&gt;=20,"S","W")))))</f>
        <v>C</v>
      </c>
      <c r="E5" s="5">
        <f>(C5-$P$7)/$P$8</f>
        <v>2.3294263080686841</v>
      </c>
      <c r="F5">
        <v>40</v>
      </c>
      <c r="G5" t="str">
        <f>IF(F5="0","AB",IF(F5&gt;=67,"A",IF(F5&gt;=58,"B",IF(F5&gt;=43,"C",IF(F5&gt;=20,"S","W")))))</f>
        <v>S</v>
      </c>
      <c r="H5" s="5">
        <f>(F5-$Q$7)/$Q$8</f>
        <v>1.4812633521616365</v>
      </c>
      <c r="I5">
        <v>38</v>
      </c>
      <c r="J5" t="str">
        <f>IF(I5="0","AB",IF(I5&gt;=67,"A",IF(I5&gt;=58,"B",IF(I5&gt;=43,"C",IF(I5&gt;=20,"S","W")))))</f>
        <v>S</v>
      </c>
      <c r="K5" s="5">
        <f>(I5-$R$7)/$R$8</f>
        <v>1.8427201044076251</v>
      </c>
      <c r="L5" s="5">
        <f>AVERAGE(E5,H5,K5)</f>
        <v>1.8844699215459819</v>
      </c>
      <c r="M5">
        <f>RANK(L5,$L$2:$L$125)</f>
        <v>4</v>
      </c>
      <c r="O5">
        <f>COUNT(F2:F125)</f>
        <v>124</v>
      </c>
    </row>
    <row r="6" spans="1:18" x14ac:dyDescent="0.25">
      <c r="A6" t="s">
        <v>44</v>
      </c>
      <c r="B6" s="1">
        <v>2007244</v>
      </c>
      <c r="C6">
        <v>42.1</v>
      </c>
      <c r="D6" t="str">
        <f>IF(C6="0","AB",IF(C6&gt;=67,"A",IF(C6&gt;=58,"B",IF(C6&gt;=43,"C",IF(C6&gt;=20,"S","W")))))</f>
        <v>S</v>
      </c>
      <c r="E6" s="5">
        <f>(C6-$P$7)/$P$8</f>
        <v>1.4043781331375289</v>
      </c>
      <c r="F6">
        <v>53</v>
      </c>
      <c r="G6" t="str">
        <f>IF(F6="0","AB",IF(F6&gt;=67,"A",IF(F6&gt;=58,"B",IF(F6&gt;=43,"C",IF(F6&gt;=20,"S","W")))))</f>
        <v>C</v>
      </c>
      <c r="H6" s="5">
        <f>(F6-$Q$7)/$Q$8</f>
        <v>2.4191253017627985</v>
      </c>
      <c r="I6">
        <v>33</v>
      </c>
      <c r="J6" t="str">
        <f>IF(I6="0","AB",IF(I6&gt;=67,"A",IF(I6&gt;=58,"B",IF(I6&gt;=43,"C",IF(I6&gt;=20,"S","W")))))</f>
        <v>S</v>
      </c>
      <c r="K6" s="5">
        <f>(I6-$R$7)/$R$8</f>
        <v>1.4611280988188717</v>
      </c>
      <c r="L6" s="5">
        <f>AVERAGE(E6,H6,K6)</f>
        <v>1.7615438445730665</v>
      </c>
      <c r="M6">
        <f>RANK(L6,$L$2:$L$125)</f>
        <v>5</v>
      </c>
    </row>
    <row r="7" spans="1:18" x14ac:dyDescent="0.25">
      <c r="A7" t="s">
        <v>101</v>
      </c>
      <c r="B7" s="1">
        <v>2007276</v>
      </c>
      <c r="C7">
        <v>40.75</v>
      </c>
      <c r="D7" t="str">
        <f>IF(C7="0","AB",IF(C7&gt;=67,"A",IF(C7&gt;=58,"B",IF(C7&gt;=43,"C",IF(C7&gt;=20,"S","W")))))</f>
        <v>S</v>
      </c>
      <c r="E7" s="5">
        <f>(C7-$P$7)/$P$8</f>
        <v>1.317654866737733</v>
      </c>
      <c r="F7">
        <v>54</v>
      </c>
      <c r="G7" t="str">
        <f>IF(F7="0","AB",IF(F7&gt;=67,"A",IF(F7&gt;=58,"B",IF(F7&gt;=43,"C",IF(F7&gt;=20,"S","W")))))</f>
        <v>C</v>
      </c>
      <c r="H7" s="5">
        <f>(F7-$Q$7)/$Q$8</f>
        <v>2.4912685286551954</v>
      </c>
      <c r="I7">
        <v>25</v>
      </c>
      <c r="J7" t="str">
        <f>IF(I7="0","AB",IF(I7&gt;=67,"A",IF(I7&gt;=58,"B",IF(I7&gt;=43,"C",IF(I7&gt;=20,"S","W")))))</f>
        <v>S</v>
      </c>
      <c r="K7" s="5">
        <f>(I7-$R$7)/$R$8</f>
        <v>0.85058088987686631</v>
      </c>
      <c r="L7" s="5">
        <f>AVERAGE(E7,H7,K7)</f>
        <v>1.5531680950899316</v>
      </c>
      <c r="M7">
        <f>RANK(L7,$L$2:$L$125)</f>
        <v>6</v>
      </c>
      <c r="P7">
        <f>AVERAGE(C2:C125)</f>
        <v>20.238387096774208</v>
      </c>
      <c r="Q7">
        <f>AVERAGE(F2:F125)</f>
        <v>19.467741935483872</v>
      </c>
      <c r="R7">
        <f>AVERAGE(I2:I125)</f>
        <v>13.85483870967742</v>
      </c>
    </row>
    <row r="8" spans="1:18" x14ac:dyDescent="0.25">
      <c r="A8" t="s">
        <v>110</v>
      </c>
      <c r="B8" s="1">
        <v>2007189</v>
      </c>
      <c r="C8">
        <v>41.15</v>
      </c>
      <c r="D8" t="str">
        <f>IF(C8="0","AB",IF(C8&gt;=67,"A",IF(C8&gt;=58,"B",IF(C8&gt;=43,"C",IF(C8&gt;=20,"S","W")))))</f>
        <v>S</v>
      </c>
      <c r="E8" s="5">
        <f>(C8-$P$7)/$P$8</f>
        <v>1.3433506493747094</v>
      </c>
      <c r="F8">
        <v>45</v>
      </c>
      <c r="G8" t="str">
        <f>IF(F8="0","AB",IF(F8&gt;=67,"A",IF(F8&gt;=58,"B",IF(F8&gt;=43,"C",IF(F8&gt;=20,"S","W")))))</f>
        <v>C</v>
      </c>
      <c r="H8" s="5">
        <f>(F8-$Q$7)/$Q$8</f>
        <v>1.8419794866236219</v>
      </c>
      <c r="I8">
        <v>33</v>
      </c>
      <c r="J8" t="str">
        <f>IF(I8="0","AB",IF(I8&gt;=67,"A",IF(I8&gt;=58,"B",IF(I8&gt;=43,"C",IF(I8&gt;=20,"S","W")))))</f>
        <v>S</v>
      </c>
      <c r="K8" s="5">
        <f>(I8-$R$7)/$R$8</f>
        <v>1.4611280988188717</v>
      </c>
      <c r="L8" s="5">
        <f>AVERAGE(E8,H8,K8)</f>
        <v>1.5488194116057343</v>
      </c>
      <c r="M8">
        <f>RANK(L8,$L$2:$L$125)</f>
        <v>7</v>
      </c>
      <c r="P8">
        <f>_xlfn.STDEV.P(C2:C125)</f>
        <v>15.566756835201247</v>
      </c>
      <c r="Q8">
        <f>_xlfn.STDEV.P(F2:F125)</f>
        <v>13.861315096031372</v>
      </c>
      <c r="R8">
        <f>_xlfn.STDEV.P(I2:I125)</f>
        <v>13.102999870989343</v>
      </c>
    </row>
    <row r="9" spans="1:18" x14ac:dyDescent="0.25">
      <c r="A9" t="s">
        <v>88</v>
      </c>
      <c r="B9" s="1">
        <v>2007394</v>
      </c>
      <c r="C9">
        <v>41.25</v>
      </c>
      <c r="D9" t="str">
        <f>IF(C9="0","AB",IF(C9&gt;=67,"A",IF(C9&gt;=58,"B",IF(C9&gt;=43,"C",IF(C9&gt;=20,"S","W")))))</f>
        <v>S</v>
      </c>
      <c r="E9" s="5">
        <f>(C9-$P$7)/$P$8</f>
        <v>1.3497745950339537</v>
      </c>
      <c r="F9">
        <v>37</v>
      </c>
      <c r="G9" t="str">
        <f>IF(F9="0","AB",IF(F9&gt;=67,"A",IF(F9&gt;=58,"B",IF(F9&gt;=43,"C",IF(F9&gt;=20,"S","W")))))</f>
        <v>S</v>
      </c>
      <c r="H9" s="5">
        <f>(F9-$Q$7)/$Q$8</f>
        <v>1.2648336714844453</v>
      </c>
      <c r="I9">
        <v>38</v>
      </c>
      <c r="J9" t="str">
        <f>IF(I9="0","AB",IF(I9&gt;=67,"A",IF(I9&gt;=58,"B",IF(I9&gt;=43,"C",IF(I9&gt;=20,"S","W")))))</f>
        <v>S</v>
      </c>
      <c r="K9" s="5">
        <f>(I9-$R$7)/$R$8</f>
        <v>1.8427201044076251</v>
      </c>
      <c r="L9" s="5">
        <f>AVERAGE(E9,H9,K9)</f>
        <v>1.4857761236420082</v>
      </c>
      <c r="M9">
        <f>RANK(L9,$L$2:$L$125)</f>
        <v>8</v>
      </c>
    </row>
    <row r="10" spans="1:18" x14ac:dyDescent="0.25">
      <c r="A10" t="s">
        <v>111</v>
      </c>
      <c r="B10" s="1">
        <v>2007194</v>
      </c>
      <c r="C10">
        <v>45.5</v>
      </c>
      <c r="D10" t="str">
        <f>IF(C10="0","AB",IF(C10&gt;=67,"A",IF(C10&gt;=58,"B",IF(C10&gt;=43,"C",IF(C10&gt;=20,"S","W")))))</f>
        <v>C</v>
      </c>
      <c r="E10" s="5">
        <f>(C10-$P$7)/$P$8</f>
        <v>1.6227922855518293</v>
      </c>
      <c r="F10">
        <v>47</v>
      </c>
      <c r="G10" t="str">
        <f>IF(F10="0","AB",IF(F10&gt;=67,"A",IF(F10&gt;=58,"B",IF(F10&gt;=43,"C",IF(F10&gt;=20,"S","W")))))</f>
        <v>C</v>
      </c>
      <c r="H10" s="5">
        <f>(F10-$Q$7)/$Q$8</f>
        <v>1.986265940408416</v>
      </c>
      <c r="I10">
        <v>20</v>
      </c>
      <c r="J10" t="str">
        <f>IF(I10="0","AB",IF(I10&gt;=67,"A",IF(I10&gt;=58,"B",IF(I10&gt;=43,"C",IF(I10&gt;=20,"S","W")))))</f>
        <v>S</v>
      </c>
      <c r="K10" s="5">
        <f>(I10-$R$7)/$R$8</f>
        <v>0.46898888428811297</v>
      </c>
      <c r="L10" s="5">
        <f>AVERAGE(E10,H10,K10)</f>
        <v>1.359349036749453</v>
      </c>
      <c r="M10">
        <f>RANK(L10,$L$2:$L$125)</f>
        <v>9</v>
      </c>
    </row>
    <row r="11" spans="1:18" x14ac:dyDescent="0.25">
      <c r="A11" t="s">
        <v>54</v>
      </c>
      <c r="B11" s="1">
        <v>2007262</v>
      </c>
      <c r="C11">
        <v>50.5</v>
      </c>
      <c r="D11" t="str">
        <f>IF(C11="0","AB",IF(C11&gt;=67,"A",IF(C11&gt;=58,"B",IF(C11&gt;=43,"C",IF(C11&gt;=20,"S","W")))))</f>
        <v>C</v>
      </c>
      <c r="E11" s="5">
        <f>(C11-$P$7)/$P$8</f>
        <v>1.943989568514036</v>
      </c>
      <c r="F11">
        <v>30</v>
      </c>
      <c r="G11" t="str">
        <f>IF(F11="0","AB",IF(F11&gt;=67,"A",IF(F11&gt;=58,"B",IF(F11&gt;=43,"C",IF(F11&gt;=20,"S","W")))))</f>
        <v>S</v>
      </c>
      <c r="H11" s="5">
        <f>(F11-$Q$7)/$Q$8</f>
        <v>0.75983108323766591</v>
      </c>
      <c r="I11">
        <v>31</v>
      </c>
      <c r="J11" t="str">
        <f>IF(I11="0","AB",IF(I11&gt;=67,"A",IF(I11&gt;=58,"B",IF(I11&gt;=43,"C",IF(I11&gt;=20,"S","W")))))</f>
        <v>S</v>
      </c>
      <c r="K11" s="5">
        <f>(I11-$R$7)/$R$8</f>
        <v>1.3084912965833704</v>
      </c>
      <c r="L11" s="5">
        <f>AVERAGE(E11,H11,K11)</f>
        <v>1.3374373161116908</v>
      </c>
      <c r="M11">
        <f>RANK(L11,$L$2:$L$125)</f>
        <v>10</v>
      </c>
    </row>
    <row r="12" spans="1:18" x14ac:dyDescent="0.25">
      <c r="A12" t="s">
        <v>18</v>
      </c>
      <c r="B12" s="1">
        <v>2007157</v>
      </c>
      <c r="C12">
        <v>46</v>
      </c>
      <c r="D12" t="str">
        <f>IF(C12="0","AB",IF(C12&gt;=67,"A",IF(C12&gt;=58,"B",IF(C12&gt;=43,"C",IF(C12&gt;=20,"S","W")))))</f>
        <v>C</v>
      </c>
      <c r="E12" s="5">
        <f>(C12-$P$7)/$P$8</f>
        <v>1.65491201384805</v>
      </c>
      <c r="F12">
        <v>19</v>
      </c>
      <c r="G12" s="6" t="str">
        <f>IF(F12="0","AB",IF(F12&gt;=67,"A",IF(F12&gt;=58,"B",IF(F12&gt;=43,"C",IF(F12&gt;=20,"S","W")))))</f>
        <v>W</v>
      </c>
      <c r="H12" s="5">
        <f>(F12-$Q$7)/$Q$8</f>
        <v>-3.3744412578701921E-2</v>
      </c>
      <c r="I12">
        <v>45</v>
      </c>
      <c r="J12" t="str">
        <f>IF(I12="0","AB",IF(I12&gt;=67,"A",IF(I12&gt;=58,"B",IF(I12&gt;=43,"C",IF(I12&gt;=20,"S","W")))))</f>
        <v>C</v>
      </c>
      <c r="K12" s="5">
        <f>(I12-$R$7)/$R$8</f>
        <v>2.3769489122318799</v>
      </c>
      <c r="L12" s="5">
        <f>AVERAGE(E12,H12,K12)</f>
        <v>1.3327055045004093</v>
      </c>
      <c r="M12">
        <f>RANK(L12,$L$2:$L$125)</f>
        <v>11</v>
      </c>
    </row>
    <row r="13" spans="1:18" x14ac:dyDescent="0.25">
      <c r="A13" t="s">
        <v>47</v>
      </c>
      <c r="B13" s="1">
        <v>2007248</v>
      </c>
      <c r="C13">
        <v>37.6</v>
      </c>
      <c r="D13" t="str">
        <f>IF(C13="0","AB",IF(C13&gt;=67,"A",IF(C13&gt;=58,"B",IF(C13&gt;=43,"C",IF(C13&gt;=20,"S","W")))))</f>
        <v>S</v>
      </c>
      <c r="E13" s="5">
        <f>(C13-$P$7)/$P$8</f>
        <v>1.1153005784715428</v>
      </c>
      <c r="F13">
        <v>41</v>
      </c>
      <c r="G13" t="str">
        <f>IF(F13="0","AB",IF(F13&gt;=67,"A",IF(F13&gt;=58,"B",IF(F13&gt;=43,"C",IF(F13&gt;=20,"S","W")))))</f>
        <v>S</v>
      </c>
      <c r="H13" s="5">
        <f>(F13-$Q$7)/$Q$8</f>
        <v>1.5534065790540337</v>
      </c>
      <c r="I13">
        <v>29</v>
      </c>
      <c r="J13" t="str">
        <f>IF(I13="0","AB",IF(I13&gt;=67,"A",IF(I13&gt;=58,"B",IF(I13&gt;=43,"C",IF(I13&gt;=20,"S","W")))))</f>
        <v>S</v>
      </c>
      <c r="K13" s="5">
        <f>(I13-$R$7)/$R$8</f>
        <v>1.155854494347869</v>
      </c>
      <c r="L13" s="5">
        <f>AVERAGE(E13,H13,K13)</f>
        <v>1.2748538839578152</v>
      </c>
      <c r="M13">
        <f>RANK(L13,$L$2:$L$125)</f>
        <v>12</v>
      </c>
    </row>
    <row r="14" spans="1:18" x14ac:dyDescent="0.25">
      <c r="A14" t="s">
        <v>30</v>
      </c>
      <c r="B14" s="1">
        <v>2007230</v>
      </c>
      <c r="C14">
        <v>30.75</v>
      </c>
      <c r="D14" t="str">
        <f>IF(C14="0","AB",IF(C14&gt;=67,"A",IF(C14&gt;=58,"B",IF(C14&gt;=43,"C",IF(C14&gt;=20,"S","W")))))</f>
        <v>S</v>
      </c>
      <c r="E14" s="5">
        <f>(C14-$P$7)/$P$8</f>
        <v>0.67526030081331956</v>
      </c>
      <c r="F14">
        <v>46</v>
      </c>
      <c r="G14" t="str">
        <f>IF(F14="0","AB",IF(F14&gt;=67,"A",IF(F14&gt;=58,"B",IF(F14&gt;=43,"C",IF(F14&gt;=20,"S","W")))))</f>
        <v>C</v>
      </c>
      <c r="H14" s="5">
        <f>(F14-$Q$7)/$Q$8</f>
        <v>1.914122713516019</v>
      </c>
      <c r="I14">
        <v>27</v>
      </c>
      <c r="J14" t="str">
        <f>IF(I14="0","AB",IF(I14&gt;=67,"A",IF(I14&gt;=58,"B",IF(I14&gt;=43,"C",IF(I14&gt;=20,"S","W")))))</f>
        <v>S</v>
      </c>
      <c r="K14" s="5">
        <f>(I14-$R$7)/$R$8</f>
        <v>1.0032176921123677</v>
      </c>
      <c r="L14" s="5">
        <f>AVERAGE(E14,H14,K14)</f>
        <v>1.1975335688139019</v>
      </c>
      <c r="M14">
        <f>RANK(L14,$L$2:$L$125)</f>
        <v>13</v>
      </c>
    </row>
    <row r="15" spans="1:18" x14ac:dyDescent="0.25">
      <c r="A15" t="s">
        <v>29</v>
      </c>
      <c r="B15" s="1">
        <v>2007229</v>
      </c>
      <c r="C15">
        <v>45.25</v>
      </c>
      <c r="D15" t="str">
        <f>IF(C15="0","AB",IF(C15&gt;=67,"A",IF(C15&gt;=58,"B",IF(C15&gt;=43,"C",IF(C15&gt;=20,"S","W")))))</f>
        <v>C</v>
      </c>
      <c r="E15" s="5">
        <f>(C15-$P$7)/$P$8</f>
        <v>1.6067324214037191</v>
      </c>
      <c r="F15">
        <v>27</v>
      </c>
      <c r="G15" t="str">
        <f>IF(F15="0","AB",IF(F15&gt;=67,"A",IF(F15&gt;=58,"B",IF(F15&gt;=43,"C",IF(F15&gt;=20,"S","W")))))</f>
        <v>S</v>
      </c>
      <c r="H15" s="5">
        <f>(F15-$Q$7)/$Q$8</f>
        <v>0.54340140256047464</v>
      </c>
      <c r="I15">
        <v>30</v>
      </c>
      <c r="J15" t="str">
        <f>IF(I15="0","AB",IF(I15&gt;=67,"A",IF(I15&gt;=58,"B",IF(I15&gt;=43,"C",IF(I15&gt;=20,"S","W")))))</f>
        <v>S</v>
      </c>
      <c r="K15" s="5">
        <f>(I15-$R$7)/$R$8</f>
        <v>1.2321728954656197</v>
      </c>
      <c r="L15" s="5">
        <f>AVERAGE(E15,H15,K15)</f>
        <v>1.127435573143271</v>
      </c>
      <c r="M15">
        <f>RANK(L15,$L$2:$L$125)</f>
        <v>14</v>
      </c>
    </row>
    <row r="16" spans="1:18" x14ac:dyDescent="0.25">
      <c r="A16" t="s">
        <v>70</v>
      </c>
      <c r="B16" s="1">
        <v>2007329</v>
      </c>
      <c r="C16">
        <v>34.25</v>
      </c>
      <c r="D16" t="str">
        <f>IF(C16="0","AB",IF(C16&gt;=67,"A",IF(C16&gt;=58,"B",IF(C16&gt;=43,"C",IF(C16&gt;=20,"S","W")))))</f>
        <v>S</v>
      </c>
      <c r="E16" s="5">
        <f>(C16-$P$7)/$P$8</f>
        <v>0.90009839888686427</v>
      </c>
      <c r="F16">
        <v>35</v>
      </c>
      <c r="G16" t="str">
        <f>IF(F16="0","AB",IF(F16&gt;=67,"A",IF(F16&gt;=58,"B",IF(F16&gt;=43,"C",IF(F16&gt;=20,"S","W")))))</f>
        <v>S</v>
      </c>
      <c r="H16" s="5">
        <f>(F16-$Q$7)/$Q$8</f>
        <v>1.1205472176996512</v>
      </c>
      <c r="I16">
        <v>30</v>
      </c>
      <c r="J16" t="str">
        <f>IF(I16="0","AB",IF(I16&gt;=67,"A",IF(I16&gt;=58,"B",IF(I16&gt;=43,"C",IF(I16&gt;=20,"S","W")))))</f>
        <v>S</v>
      </c>
      <c r="K16" s="5">
        <f>(I16-$R$7)/$R$8</f>
        <v>1.2321728954656197</v>
      </c>
      <c r="L16" s="5">
        <f>AVERAGE(E16,H16,K16)</f>
        <v>1.0842728373507116</v>
      </c>
      <c r="M16">
        <f>RANK(L16,$L$2:$L$125)</f>
        <v>15</v>
      </c>
    </row>
    <row r="17" spans="1:13" x14ac:dyDescent="0.25">
      <c r="A17" t="s">
        <v>34</v>
      </c>
      <c r="B17" s="1">
        <v>2007234</v>
      </c>
      <c r="C17">
        <v>36.6</v>
      </c>
      <c r="D17" t="str">
        <f>IF(C17="0","AB",IF(C17&gt;=67,"A",IF(C17&gt;=58,"B",IF(C17&gt;=43,"C",IF(C17&gt;=20,"S","W")))))</f>
        <v>S</v>
      </c>
      <c r="E17" s="5">
        <f>(C17-$P$7)/$P$8</f>
        <v>1.0510611218791015</v>
      </c>
      <c r="F17">
        <v>26</v>
      </c>
      <c r="G17" t="str">
        <f>IF(F17="0","AB",IF(F17&gt;=67,"A",IF(F17&gt;=58,"B",IF(F17&gt;=43,"C",IF(F17&gt;=20,"S","W")))))</f>
        <v>S</v>
      </c>
      <c r="H17" s="5">
        <f>(F17-$Q$7)/$Q$8</f>
        <v>0.47125817566807759</v>
      </c>
      <c r="I17">
        <v>36</v>
      </c>
      <c r="J17" t="str">
        <f>IF(I17="0","AB",IF(I17&gt;=67,"A",IF(I17&gt;=58,"B",IF(I17&gt;=43,"C",IF(I17&gt;=20,"S","W")))))</f>
        <v>S</v>
      </c>
      <c r="K17" s="5">
        <f>(I17-$R$7)/$R$8</f>
        <v>1.6900833021721238</v>
      </c>
      <c r="L17" s="5">
        <f>AVERAGE(E17,H17,K17)</f>
        <v>1.0708008665731008</v>
      </c>
      <c r="M17">
        <f>RANK(L17,$L$2:$L$125)</f>
        <v>16</v>
      </c>
    </row>
    <row r="18" spans="1:13" x14ac:dyDescent="0.25">
      <c r="A18" t="s">
        <v>119</v>
      </c>
      <c r="B18" s="1">
        <v>2007407</v>
      </c>
      <c r="C18">
        <v>48.25</v>
      </c>
      <c r="D18" t="str">
        <f>IF(C18="0","AB",IF(C18&gt;=67,"A",IF(C18&gt;=58,"B",IF(C18&gt;=43,"C",IF(C18&gt;=20,"S","W")))))</f>
        <v>C</v>
      </c>
      <c r="E18" s="5">
        <f>(C18-$P$7)/$P$8</f>
        <v>1.7994507911810429</v>
      </c>
      <c r="F18">
        <v>28</v>
      </c>
      <c r="G18" t="str">
        <f>IF(F18="0","AB",IF(F18&gt;=67,"A",IF(F18&gt;=58,"B",IF(F18&gt;=43,"C",IF(F18&gt;=20,"S","W")))))</f>
        <v>S</v>
      </c>
      <c r="H18" s="5">
        <f>(F18-$Q$7)/$Q$8</f>
        <v>0.61554462945287169</v>
      </c>
      <c r="I18">
        <v>23</v>
      </c>
      <c r="J18" t="str">
        <f>IF(I18="0","AB",IF(I18&gt;=67,"A",IF(I18&gt;=58,"B",IF(I18&gt;=43,"C",IF(I18&gt;=20,"S","W")))))</f>
        <v>S</v>
      </c>
      <c r="K18" s="5">
        <f>(I18-$R$7)/$R$8</f>
        <v>0.69794408764136495</v>
      </c>
      <c r="L18" s="5">
        <f>AVERAGE(E18,H18,K18)</f>
        <v>1.0376465027584265</v>
      </c>
      <c r="M18">
        <f>RANK(L18,$L$2:$L$125)</f>
        <v>17</v>
      </c>
    </row>
    <row r="19" spans="1:13" x14ac:dyDescent="0.25">
      <c r="A19" t="s">
        <v>37</v>
      </c>
      <c r="B19" s="1">
        <v>2007237</v>
      </c>
      <c r="C19">
        <v>45</v>
      </c>
      <c r="D19" t="str">
        <f>IF(C19="0","AB",IF(C19&gt;=67,"A",IF(C19&gt;=58,"B",IF(C19&gt;=43,"C",IF(C19&gt;=20,"S","W")))))</f>
        <v>C</v>
      </c>
      <c r="E19" s="5">
        <f>(C19-$P$7)/$P$8</f>
        <v>1.5906725572556086</v>
      </c>
      <c r="F19">
        <v>26</v>
      </c>
      <c r="G19" t="str">
        <f>IF(F19="0","AB",IF(F19&gt;=67,"A",IF(F19&gt;=58,"B",IF(F19&gt;=43,"C",IF(F19&gt;=20,"S","W")))))</f>
        <v>S</v>
      </c>
      <c r="H19" s="5">
        <f>(F19-$Q$7)/$Q$8</f>
        <v>0.47125817566807759</v>
      </c>
      <c r="I19">
        <v>26</v>
      </c>
      <c r="J19" t="str">
        <f>IF(I19="0","AB",IF(I19&gt;=67,"A",IF(I19&gt;=58,"B",IF(I19&gt;=43,"C",IF(I19&gt;=20,"S","W")))))</f>
        <v>S</v>
      </c>
      <c r="K19" s="5">
        <f>(I19-$R$7)/$R$8</f>
        <v>0.92689929099461699</v>
      </c>
      <c r="L19" s="5">
        <f>AVERAGE(E19,H19,K19)</f>
        <v>0.99627667463943448</v>
      </c>
      <c r="M19">
        <f>RANK(L19,$L$2:$L$125)</f>
        <v>18</v>
      </c>
    </row>
    <row r="20" spans="1:13" x14ac:dyDescent="0.25">
      <c r="A20" t="s">
        <v>65</v>
      </c>
      <c r="B20" s="1">
        <v>2007311</v>
      </c>
      <c r="C20">
        <v>34.5</v>
      </c>
      <c r="D20" t="str">
        <f>IF(C20="0","AB",IF(C20&gt;=67,"A",IF(C20&gt;=58,"B",IF(C20&gt;=43,"C",IF(C20&gt;=20,"S","W")))))</f>
        <v>S</v>
      </c>
      <c r="E20" s="5">
        <f>(C20-$P$7)/$P$8</f>
        <v>0.91615826303497461</v>
      </c>
      <c r="F20">
        <v>31</v>
      </c>
      <c r="G20" t="str">
        <f>IF(F20="0","AB",IF(F20&gt;=67,"A",IF(F20&gt;=58,"B",IF(F20&gt;=43,"C",IF(F20&gt;=20,"S","W")))))</f>
        <v>S</v>
      </c>
      <c r="H20" s="5">
        <f>(F20-$Q$7)/$Q$8</f>
        <v>0.83197431013006296</v>
      </c>
      <c r="I20">
        <v>28</v>
      </c>
      <c r="J20" t="str">
        <f>IF(I20="0","AB",IF(I20&gt;=67,"A",IF(I20&gt;=58,"B",IF(I20&gt;=43,"C",IF(I20&gt;=20,"S","W")))))</f>
        <v>S</v>
      </c>
      <c r="K20" s="5">
        <f>(I20-$R$7)/$R$8</f>
        <v>1.0795360932301183</v>
      </c>
      <c r="L20" s="5">
        <f>AVERAGE(E20,H20,K20)</f>
        <v>0.94255622213171864</v>
      </c>
      <c r="M20">
        <f>RANK(L20,$L$2:$L$125)</f>
        <v>19</v>
      </c>
    </row>
    <row r="21" spans="1:13" x14ac:dyDescent="0.25">
      <c r="A21" t="s">
        <v>90</v>
      </c>
      <c r="B21" s="1">
        <v>2007406</v>
      </c>
      <c r="C21">
        <v>38.35</v>
      </c>
      <c r="D21" t="str">
        <f>IF(C21="0","AB",IF(C21&gt;=67,"A",IF(C21&gt;=58,"B",IF(C21&gt;=43,"C",IF(C21&gt;=20,"S","W")))))</f>
        <v>S</v>
      </c>
      <c r="E21" s="5">
        <f>(C21-$P$7)/$P$8</f>
        <v>1.1634801709158737</v>
      </c>
      <c r="F21">
        <v>20</v>
      </c>
      <c r="G21" t="str">
        <f>IF(F21="0","AB",IF(F21&gt;=67,"A",IF(F21&gt;=58,"B",IF(F21&gt;=43,"C",IF(F21&gt;=20,"S","W")))))</f>
        <v>S</v>
      </c>
      <c r="H21" s="5">
        <f>(F21-$Q$7)/$Q$8</f>
        <v>3.839881431369515E-2</v>
      </c>
      <c r="I21">
        <v>35</v>
      </c>
      <c r="J21" t="str">
        <f>IF(I21="0","AB",IF(I21&gt;=67,"A",IF(I21&gt;=58,"B",IF(I21&gt;=43,"C",IF(I21&gt;=20,"S","W")))))</f>
        <v>S</v>
      </c>
      <c r="K21" s="5">
        <f>(I21-$R$7)/$R$8</f>
        <v>1.6137649010543731</v>
      </c>
      <c r="L21" s="5">
        <f>AVERAGE(E21,H21,K21)</f>
        <v>0.9385479620946473</v>
      </c>
      <c r="M21">
        <f>RANK(L21,$L$2:$L$125)</f>
        <v>20</v>
      </c>
    </row>
    <row r="22" spans="1:13" x14ac:dyDescent="0.25">
      <c r="A22" t="s">
        <v>8</v>
      </c>
      <c r="B22" s="1">
        <v>2007114</v>
      </c>
      <c r="C22">
        <v>32</v>
      </c>
      <c r="D22" t="str">
        <f>IF(C22="0","AB",IF(C22&gt;=67,"A",IF(C22&gt;=58,"B",IF(C22&gt;=43,"C",IF(C22&gt;=20,"S","W")))))</f>
        <v>S</v>
      </c>
      <c r="E22" s="5">
        <f>(C22-$P$7)/$P$8</f>
        <v>0.75555962155387124</v>
      </c>
      <c r="F22">
        <v>34</v>
      </c>
      <c r="G22" t="str">
        <f>IF(F22="0","AB",IF(F22&gt;=67,"A",IF(F22&gt;=58,"B",IF(F22&gt;=43,"C",IF(F22&gt;=20,"S","W")))))</f>
        <v>S</v>
      </c>
      <c r="H22" s="5">
        <f>(F22-$Q$7)/$Q$8</f>
        <v>1.0484039908072542</v>
      </c>
      <c r="I22">
        <v>26</v>
      </c>
      <c r="J22" t="str">
        <f>IF(I22="0","AB",IF(I22&gt;=67,"A",IF(I22&gt;=58,"B",IF(I22&gt;=43,"C",IF(I22&gt;=20,"S","W")))))</f>
        <v>S</v>
      </c>
      <c r="K22" s="5">
        <f>(I22-$R$7)/$R$8</f>
        <v>0.92689929099461699</v>
      </c>
      <c r="L22" s="5">
        <f>AVERAGE(E22,H22,K22)</f>
        <v>0.91028763445191407</v>
      </c>
      <c r="M22">
        <f>RANK(L22,$L$2:$L$125)</f>
        <v>21</v>
      </c>
    </row>
    <row r="23" spans="1:13" x14ac:dyDescent="0.25">
      <c r="A23" s="3" t="s">
        <v>120</v>
      </c>
      <c r="B23" s="1">
        <v>2007186</v>
      </c>
      <c r="C23">
        <v>28.2</v>
      </c>
      <c r="D23" t="str">
        <f>IF(C23="0","AB",IF(C23&gt;=67,"A",IF(C23&gt;=58,"B",IF(C23&gt;=43,"C",IF(C23&gt;=20,"S","W")))))</f>
        <v>S</v>
      </c>
      <c r="E23" s="5">
        <f>(C23-$P$7)/$P$8</f>
        <v>0.51144968650259415</v>
      </c>
      <c r="F23">
        <v>32</v>
      </c>
      <c r="G23" t="str">
        <f>IF(F23="0","AB",IF(F23&gt;=67,"A",IF(F23&gt;=58,"B",IF(F23&gt;=43,"C",IF(F23&gt;=20,"S","W")))))</f>
        <v>S</v>
      </c>
      <c r="H23" s="5">
        <f>(F23-$Q$7)/$Q$8</f>
        <v>0.90411753702246</v>
      </c>
      <c r="I23">
        <v>31</v>
      </c>
      <c r="J23" t="str">
        <f>IF(I23="0","AB",IF(I23&gt;=67,"A",IF(I23&gt;=58,"B",IF(I23&gt;=43,"C",IF(I23&gt;=20,"S","W")))))</f>
        <v>S</v>
      </c>
      <c r="K23" s="5">
        <f>(I23-$R$7)/$R$8</f>
        <v>1.3084912965833704</v>
      </c>
      <c r="L23" s="5">
        <f>AVERAGE(E23,H23,K23)</f>
        <v>0.90801950670280818</v>
      </c>
      <c r="M23">
        <f>RANK(L23,$L$2:$L$125)</f>
        <v>22</v>
      </c>
    </row>
    <row r="24" spans="1:13" x14ac:dyDescent="0.25">
      <c r="A24" t="s">
        <v>99</v>
      </c>
      <c r="B24" s="1">
        <v>2007417</v>
      </c>
      <c r="C24">
        <v>34.700000000000003</v>
      </c>
      <c r="D24" t="str">
        <f>IF(C24="0","AB",IF(C24&gt;=67,"A",IF(C24&gt;=58,"B",IF(C24&gt;=43,"C",IF(C24&gt;=20,"S","W")))))</f>
        <v>S</v>
      </c>
      <c r="E24" s="5">
        <f>(C24-$P$7)/$P$8</f>
        <v>0.92900615435346301</v>
      </c>
      <c r="F24">
        <v>33</v>
      </c>
      <c r="G24" t="str">
        <f>IF(F24="0","AB",IF(F24&gt;=67,"A",IF(F24&gt;=58,"B",IF(F24&gt;=43,"C",IF(F24&gt;=20,"S","W")))))</f>
        <v>S</v>
      </c>
      <c r="H24" s="5">
        <f>(F24-$Q$7)/$Q$8</f>
        <v>0.97626076391485705</v>
      </c>
      <c r="I24">
        <v>23</v>
      </c>
      <c r="J24" t="str">
        <f>IF(I24="0","AB",IF(I24&gt;=67,"A",IF(I24&gt;=58,"B",IF(I24&gt;=43,"C",IF(I24&gt;=20,"S","W")))))</f>
        <v>S</v>
      </c>
      <c r="K24" s="5">
        <f>(I24-$R$7)/$R$8</f>
        <v>0.69794408764136495</v>
      </c>
      <c r="L24" s="5">
        <f>AVERAGE(E24,H24,K24)</f>
        <v>0.86773700196989501</v>
      </c>
      <c r="M24">
        <f>RANK(L24,$L$2:$L$125)</f>
        <v>23</v>
      </c>
    </row>
    <row r="25" spans="1:13" x14ac:dyDescent="0.25">
      <c r="A25" t="s">
        <v>22</v>
      </c>
      <c r="B25" s="1">
        <v>2007170</v>
      </c>
      <c r="C25">
        <v>39.6</v>
      </c>
      <c r="D25" t="str">
        <f>IF(C25="0","AB",IF(C25&gt;=67,"A",IF(C25&gt;=58,"B",IF(C25&gt;=43,"C",IF(C25&gt;=20,"S","W")))))</f>
        <v>S</v>
      </c>
      <c r="E25" s="5">
        <f>(C25-$P$7)/$P$8</f>
        <v>1.2437794916564255</v>
      </c>
      <c r="F25">
        <v>20</v>
      </c>
      <c r="G25" t="str">
        <f>IF(F25="0","AB",IF(F25&gt;=67,"A",IF(F25&gt;=58,"B",IF(F25&gt;=43,"C",IF(F25&gt;=20,"S","W")))))</f>
        <v>S</v>
      </c>
      <c r="H25" s="5">
        <f>(F25-$Q$7)/$Q$8</f>
        <v>3.839881431369515E-2</v>
      </c>
      <c r="I25">
        <v>31</v>
      </c>
      <c r="J25" t="str">
        <f>IF(I25="0","AB",IF(I25&gt;=67,"A",IF(I25&gt;=58,"B",IF(I25&gt;=43,"C",IF(I25&gt;=20,"S","W")))))</f>
        <v>S</v>
      </c>
      <c r="K25" s="5">
        <f>(I25-$R$7)/$R$8</f>
        <v>1.3084912965833704</v>
      </c>
      <c r="L25" s="5">
        <f>AVERAGE(E25,H25,K25)</f>
        <v>0.86355653418449696</v>
      </c>
      <c r="M25">
        <f>RANK(L25,$L$2:$L$125)</f>
        <v>24</v>
      </c>
    </row>
    <row r="26" spans="1:13" x14ac:dyDescent="0.25">
      <c r="A26" t="s">
        <v>39</v>
      </c>
      <c r="B26" s="1">
        <v>2007239</v>
      </c>
      <c r="C26">
        <v>33.4</v>
      </c>
      <c r="D26" t="str">
        <f>IF(C26="0","AB",IF(C26&gt;=67,"A",IF(C26&gt;=58,"B",IF(C26&gt;=43,"C",IF(C26&gt;=20,"S","W")))))</f>
        <v>S</v>
      </c>
      <c r="E26" s="5">
        <f>(C26-$P$7)/$P$8</f>
        <v>0.84549486078328906</v>
      </c>
      <c r="F26">
        <v>26</v>
      </c>
      <c r="G26" t="str">
        <f>IF(F26="0","AB",IF(F26&gt;=67,"A",IF(F26&gt;=58,"B",IF(F26&gt;=43,"C",IF(F26&gt;=20,"S","W")))))</f>
        <v>S</v>
      </c>
      <c r="H26" s="5">
        <f>(F26-$Q$7)/$Q$8</f>
        <v>0.47125817566807759</v>
      </c>
      <c r="I26">
        <v>30</v>
      </c>
      <c r="J26" t="str">
        <f>IF(I26="0","AB",IF(I26&gt;=67,"A",IF(I26&gt;=58,"B",IF(I26&gt;=43,"C",IF(I26&gt;=20,"S","W")))))</f>
        <v>S</v>
      </c>
      <c r="K26" s="5">
        <f>(I26-$R$7)/$R$8</f>
        <v>1.2321728954656197</v>
      </c>
      <c r="L26" s="5">
        <f>AVERAGE(E26,H26,K26)</f>
        <v>0.84964197730566215</v>
      </c>
      <c r="M26">
        <f>RANK(L26,$L$2:$L$125)</f>
        <v>25</v>
      </c>
    </row>
    <row r="27" spans="1:13" x14ac:dyDescent="0.25">
      <c r="A27" t="s">
        <v>109</v>
      </c>
      <c r="B27" s="1">
        <v>2007187</v>
      </c>
      <c r="C27">
        <v>32.75</v>
      </c>
      <c r="D27" t="str">
        <f>IF(C27="0","AB",IF(C27&gt;=67,"A",IF(C27&gt;=58,"B",IF(C27&gt;=43,"C",IF(C27&gt;=20,"S","W")))))</f>
        <v>S</v>
      </c>
      <c r="E27" s="5">
        <f>(C27-$P$7)/$P$8</f>
        <v>0.80373921399820225</v>
      </c>
      <c r="F27">
        <v>33</v>
      </c>
      <c r="G27" t="str">
        <f>IF(F27="0","AB",IF(F27&gt;=67,"A",IF(F27&gt;=58,"B",IF(F27&gt;=43,"C",IF(F27&gt;=20,"S","W")))))</f>
        <v>S</v>
      </c>
      <c r="H27" s="5">
        <f>(F27-$Q$7)/$Q$8</f>
        <v>0.97626076391485705</v>
      </c>
      <c r="I27">
        <v>23</v>
      </c>
      <c r="J27" t="str">
        <f>IF(I27="0","AB",IF(I27&gt;=67,"A",IF(I27&gt;=58,"B",IF(I27&gt;=43,"C",IF(I27&gt;=20,"S","W")))))</f>
        <v>S</v>
      </c>
      <c r="K27" s="5">
        <f>(I27-$R$7)/$R$8</f>
        <v>0.69794408764136495</v>
      </c>
      <c r="L27" s="5">
        <f>AVERAGE(E27,H27,K27)</f>
        <v>0.82598135518480797</v>
      </c>
      <c r="M27">
        <f>RANK(L27,$L$2:$L$125)</f>
        <v>26</v>
      </c>
    </row>
    <row r="28" spans="1:13" x14ac:dyDescent="0.25">
      <c r="A28" t="s">
        <v>50</v>
      </c>
      <c r="B28" s="1">
        <v>2007251</v>
      </c>
      <c r="C28">
        <v>27.5</v>
      </c>
      <c r="D28" t="str">
        <f>IF(C28="0","AB",IF(C28&gt;=67,"A",IF(C28&gt;=58,"B",IF(C28&gt;=43,"C",IF(C28&gt;=20,"S","W")))))</f>
        <v>S</v>
      </c>
      <c r="E28" s="5">
        <f>(C28-$P$7)/$P$8</f>
        <v>0.46648206688788524</v>
      </c>
      <c r="F28">
        <v>32</v>
      </c>
      <c r="G28" t="str">
        <f>IF(F28="0","AB",IF(F28&gt;=67,"A",IF(F28&gt;=58,"B",IF(F28&gt;=43,"C",IF(F28&gt;=20,"S","W")))))</f>
        <v>S</v>
      </c>
      <c r="H28" s="5">
        <f>(F28-$Q$7)/$Q$8</f>
        <v>0.90411753702246</v>
      </c>
      <c r="I28">
        <v>26</v>
      </c>
      <c r="J28" t="str">
        <f>IF(I28="0","AB",IF(I28&gt;=67,"A",IF(I28&gt;=58,"B",IF(I28&gt;=43,"C",IF(I28&gt;=20,"S","W")))))</f>
        <v>S</v>
      </c>
      <c r="K28" s="5">
        <f>(I28-$R$7)/$R$8</f>
        <v>0.92689929099461699</v>
      </c>
      <c r="L28" s="5">
        <f>AVERAGE(E28,H28,K28)</f>
        <v>0.76583296496832076</v>
      </c>
      <c r="M28">
        <f>RANK(L28,$L$2:$L$125)</f>
        <v>27</v>
      </c>
    </row>
    <row r="29" spans="1:13" x14ac:dyDescent="0.25">
      <c r="A29" t="s">
        <v>38</v>
      </c>
      <c r="B29" s="1">
        <v>2007238</v>
      </c>
      <c r="C29">
        <v>30.25</v>
      </c>
      <c r="D29" t="str">
        <f>IF(C29="0","AB",IF(C29&gt;=67,"A",IF(C29&gt;=58,"B",IF(C29&gt;=43,"C",IF(C29&gt;=20,"S","W")))))</f>
        <v>S</v>
      </c>
      <c r="E29" s="5">
        <f>(C29-$P$7)/$P$8</f>
        <v>0.64314057251709889</v>
      </c>
      <c r="F29">
        <v>26</v>
      </c>
      <c r="G29" t="str">
        <f>IF(F29="0","AB",IF(F29&gt;=67,"A",IF(F29&gt;=58,"B",IF(F29&gt;=43,"C",IF(F29&gt;=20,"S","W")))))</f>
        <v>S</v>
      </c>
      <c r="H29" s="5">
        <f>(F29-$Q$7)/$Q$8</f>
        <v>0.47125817566807759</v>
      </c>
      <c r="I29">
        <v>28</v>
      </c>
      <c r="J29" t="str">
        <f>IF(I29="0","AB",IF(I29&gt;=67,"A",IF(I29&gt;=58,"B",IF(I29&gt;=43,"C",IF(I29&gt;=20,"S","W")))))</f>
        <v>S</v>
      </c>
      <c r="K29" s="5">
        <f>(I29-$R$7)/$R$8</f>
        <v>1.0795360932301183</v>
      </c>
      <c r="L29" s="5">
        <f>AVERAGE(E29,H29,K29)</f>
        <v>0.73131161380509824</v>
      </c>
      <c r="M29">
        <f>RANK(L29,$L$2:$L$125)</f>
        <v>28</v>
      </c>
    </row>
    <row r="30" spans="1:13" x14ac:dyDescent="0.25">
      <c r="A30" t="s">
        <v>49</v>
      </c>
      <c r="B30" s="1">
        <v>2007250</v>
      </c>
      <c r="C30">
        <v>34.200000000000003</v>
      </c>
      <c r="D30" t="str">
        <f>IF(C30="0","AB",IF(C30&gt;=67,"A",IF(C30&gt;=58,"B",IF(C30&gt;=43,"C",IF(C30&gt;=20,"S","W")))))</f>
        <v>S</v>
      </c>
      <c r="E30" s="5">
        <f>(C30-$P$7)/$P$8</f>
        <v>0.89688642605724234</v>
      </c>
      <c r="F30">
        <v>24</v>
      </c>
      <c r="G30" t="str">
        <f>IF(F30="0","AB",IF(F30&gt;=67,"A",IF(F30&gt;=58,"B",IF(F30&gt;=43,"C",IF(F30&gt;=20,"S","W")))))</f>
        <v>S</v>
      </c>
      <c r="H30" s="5">
        <f>(F30-$Q$7)/$Q$8</f>
        <v>0.32697172188328344</v>
      </c>
      <c r="I30">
        <v>25</v>
      </c>
      <c r="J30" t="str">
        <f>IF(I30="0","AB",IF(I30&gt;=67,"A",IF(I30&gt;=58,"B",IF(I30&gt;=43,"C",IF(I30&gt;=20,"S","W")))))</f>
        <v>S</v>
      </c>
      <c r="K30" s="5">
        <f>(I30-$R$7)/$R$8</f>
        <v>0.85058088987686631</v>
      </c>
      <c r="L30" s="5">
        <f>AVERAGE(E30,H30,K30)</f>
        <v>0.6914796792724639</v>
      </c>
      <c r="M30">
        <f>RANK(L30,$L$2:$L$125)</f>
        <v>29</v>
      </c>
    </row>
    <row r="31" spans="1:13" x14ac:dyDescent="0.25">
      <c r="A31" t="s">
        <v>53</v>
      </c>
      <c r="B31" s="1">
        <v>2007261</v>
      </c>
      <c r="C31">
        <v>41.7</v>
      </c>
      <c r="D31" t="str">
        <f>IF(C31="0","AB",IF(C31&gt;=67,"A",IF(C31&gt;=58,"B",IF(C31&gt;=43,"C",IF(C31&gt;=20,"S","W")))))</f>
        <v>S</v>
      </c>
      <c r="E31" s="5">
        <f>(C31-$P$7)/$P$8</f>
        <v>1.3786823505005523</v>
      </c>
      <c r="F31">
        <v>18</v>
      </c>
      <c r="G31" s="6" t="str">
        <f>IF(F31="0","AB",IF(F31&gt;=67,"A",IF(F31&gt;=58,"B",IF(F31&gt;=43,"C",IF(F31&gt;=20,"S","W")))))</f>
        <v>W</v>
      </c>
      <c r="H31" s="5">
        <f>(F31-$Q$7)/$Q$8</f>
        <v>-0.105887639471099</v>
      </c>
      <c r="I31">
        <v>24</v>
      </c>
      <c r="J31" t="str">
        <f>IF(I31="0","AB",IF(I31&gt;=67,"A",IF(I31&gt;=58,"B",IF(I31&gt;=43,"C",IF(I31&gt;=20,"S","W")))))</f>
        <v>S</v>
      </c>
      <c r="K31" s="5">
        <f>(I31-$R$7)/$R$8</f>
        <v>0.77426248875911563</v>
      </c>
      <c r="L31" s="5" t="s">
        <v>132</v>
      </c>
      <c r="M31" t="s">
        <v>132</v>
      </c>
    </row>
    <row r="32" spans="1:13" x14ac:dyDescent="0.25">
      <c r="A32" t="s">
        <v>48</v>
      </c>
      <c r="B32" s="1">
        <v>2007249</v>
      </c>
      <c r="C32">
        <v>24.7</v>
      </c>
      <c r="D32" t="str">
        <f>IF(C32="0","AB",IF(C32&gt;=67,"A",IF(C32&gt;=58,"B",IF(C32&gt;=43,"C",IF(C32&gt;=20,"S","W")))))</f>
        <v>S</v>
      </c>
      <c r="E32" s="5">
        <f>(C32-$P$7)/$P$8</f>
        <v>0.28661158842904944</v>
      </c>
      <c r="F32">
        <v>30</v>
      </c>
      <c r="G32" t="str">
        <f>IF(F32="0","AB",IF(F32&gt;=67,"A",IF(F32&gt;=58,"B",IF(F32&gt;=43,"C",IF(F32&gt;=20,"S","W")))))</f>
        <v>S</v>
      </c>
      <c r="H32" s="5">
        <f>(F32-$Q$7)/$Q$8</f>
        <v>0.75983108323766591</v>
      </c>
      <c r="I32">
        <v>23</v>
      </c>
      <c r="J32" t="str">
        <f>IF(I32="0","AB",IF(I32&gt;=67,"A",IF(I32&gt;=58,"B",IF(I32&gt;=43,"C",IF(I32&gt;=20,"S","W")))))</f>
        <v>S</v>
      </c>
      <c r="K32" s="5">
        <f>(I32-$R$7)/$R$8</f>
        <v>0.69794408764136495</v>
      </c>
      <c r="L32" s="5">
        <f>AVERAGE(E32,H32,K32)</f>
        <v>0.5814622531026935</v>
      </c>
      <c r="M32">
        <f>RANK(L32,$L$2:$L$125)</f>
        <v>30</v>
      </c>
    </row>
    <row r="33" spans="1:13" x14ac:dyDescent="0.25">
      <c r="A33" t="s">
        <v>106</v>
      </c>
      <c r="B33" s="1">
        <v>2007188</v>
      </c>
      <c r="C33">
        <v>33.85</v>
      </c>
      <c r="D33" t="str">
        <f>IF(C33="0","AB",IF(C33&gt;=67,"A",IF(C33&gt;=58,"B",IF(C33&gt;=43,"C",IF(C33&gt;=20,"S","W")))))</f>
        <v>S</v>
      </c>
      <c r="E33" s="5">
        <f>(C33-$P$7)/$P$8</f>
        <v>0.8744026162498878</v>
      </c>
      <c r="F33">
        <v>19</v>
      </c>
      <c r="G33" s="6" t="str">
        <f>IF(F33="0","AB",IF(F33&gt;=67,"A",IF(F33&gt;=58,"B",IF(F33&gt;=43,"C",IF(F33&gt;=20,"S","W")))))</f>
        <v>W</v>
      </c>
      <c r="H33" s="5">
        <f>(F33-$Q$7)/$Q$8</f>
        <v>-3.3744412578701921E-2</v>
      </c>
      <c r="I33">
        <v>25</v>
      </c>
      <c r="J33" t="str">
        <f>IF(I33="0","AB",IF(I33&gt;=67,"A",IF(I33&gt;=58,"B",IF(I33&gt;=43,"C",IF(I33&gt;=20,"S","W")))))</f>
        <v>S</v>
      </c>
      <c r="K33" s="5">
        <f>(I33-$R$7)/$R$8</f>
        <v>0.85058088987686631</v>
      </c>
      <c r="L33" s="5" t="s">
        <v>132</v>
      </c>
      <c r="M33" t="s">
        <v>132</v>
      </c>
    </row>
    <row r="34" spans="1:13" x14ac:dyDescent="0.25">
      <c r="A34" t="s">
        <v>87</v>
      </c>
      <c r="B34" s="1">
        <v>2007393</v>
      </c>
      <c r="C34">
        <v>15.35</v>
      </c>
      <c r="D34" t="str">
        <f>IF(C34="0","AB",IF(C34&gt;=67,"A",IF(C34&gt;=58,"B",IF(C34&gt;=43,"C",IF(C34&gt;=20,"S","W")))))</f>
        <v>W</v>
      </c>
      <c r="E34" s="5">
        <f>(C34-$P$7)/$P$8</f>
        <v>-0.31402733071027705</v>
      </c>
      <c r="F34">
        <v>30</v>
      </c>
      <c r="G34" s="6" t="str">
        <f>IF(F34="0","AB",IF(F34&gt;=67,"A",IF(F34&gt;=58,"B",IF(F34&gt;=43,"C",IF(F34&gt;=20,"S","W")))))</f>
        <v>S</v>
      </c>
      <c r="H34" s="5">
        <f>(F34-$Q$7)/$Q$8</f>
        <v>0.75983108323766591</v>
      </c>
      <c r="I34">
        <v>29</v>
      </c>
      <c r="J34" t="str">
        <f>IF(I34="0","AB",IF(I34&gt;=67,"A",IF(I34&gt;=58,"B",IF(I34&gt;=43,"C",IF(I34&gt;=20,"S","W")))))</f>
        <v>S</v>
      </c>
      <c r="K34" s="5">
        <f>(I34-$R$7)/$R$8</f>
        <v>1.155854494347869</v>
      </c>
      <c r="L34" s="5" t="s">
        <v>132</v>
      </c>
      <c r="M34" t="s">
        <v>132</v>
      </c>
    </row>
    <row r="35" spans="1:13" x14ac:dyDescent="0.25">
      <c r="A35" t="s">
        <v>36</v>
      </c>
      <c r="B35" s="1">
        <v>2007236</v>
      </c>
      <c r="C35">
        <v>24.5</v>
      </c>
      <c r="D35" t="str">
        <f>IF(C35="0","AB",IF(C35&gt;=67,"A",IF(C35&gt;=58,"B",IF(C35&gt;=43,"C",IF(C35&gt;=20,"S","W")))))</f>
        <v>S</v>
      </c>
      <c r="E35" s="5">
        <f>(C35-$P$7)/$P$8</f>
        <v>0.2737636971105612</v>
      </c>
      <c r="F35">
        <v>26</v>
      </c>
      <c r="G35" t="str">
        <f>IF(F35="0","AB",IF(F35&gt;=67,"A",IF(F35&gt;=58,"B",IF(F35&gt;=43,"C",IF(F35&gt;=20,"S","W")))))</f>
        <v>S</v>
      </c>
      <c r="H35" s="5">
        <f>(F35-$Q$7)/$Q$8</f>
        <v>0.47125817566807759</v>
      </c>
      <c r="I35">
        <v>25</v>
      </c>
      <c r="J35" t="str">
        <f>IF(I35="0","AB",IF(I35&gt;=67,"A",IF(I35&gt;=58,"B",IF(I35&gt;=43,"C",IF(I35&gt;=20,"S","W")))))</f>
        <v>S</v>
      </c>
      <c r="K35" s="5">
        <f>(I35-$R$7)/$R$8</f>
        <v>0.85058088987686631</v>
      </c>
      <c r="L35" s="5">
        <f>AVERAGE(E35,H35,K35)</f>
        <v>0.53186758755183505</v>
      </c>
      <c r="M35">
        <f>RANK(L35,$L$2:$L$125)</f>
        <v>31</v>
      </c>
    </row>
    <row r="36" spans="1:13" x14ac:dyDescent="0.25">
      <c r="A36" t="s">
        <v>9</v>
      </c>
      <c r="B36" s="1">
        <v>2007115</v>
      </c>
      <c r="C36">
        <v>24.75</v>
      </c>
      <c r="D36" t="str">
        <f>IF(C36="0","AB",IF(C36&gt;=67,"A",IF(C36&gt;=58,"B",IF(C36&gt;=43,"C",IF(C36&gt;=20,"S","W")))))</f>
        <v>S</v>
      </c>
      <c r="E36" s="5">
        <f>(C36-$P$7)/$P$8</f>
        <v>0.28982356125867154</v>
      </c>
      <c r="F36">
        <v>28</v>
      </c>
      <c r="G36" t="str">
        <f>IF(F36="0","AB",IF(F36&gt;=67,"A",IF(F36&gt;=58,"B",IF(F36&gt;=43,"C",IF(F36&gt;=20,"S","W")))))</f>
        <v>S</v>
      </c>
      <c r="H36" s="5">
        <f>(F36-$Q$7)/$Q$8</f>
        <v>0.61554462945287169</v>
      </c>
      <c r="I36">
        <v>22</v>
      </c>
      <c r="J36" t="str">
        <f>IF(I36="0","AB",IF(I36&gt;=67,"A",IF(I36&gt;=58,"B",IF(I36&gt;=43,"C",IF(I36&gt;=20,"S","W")))))</f>
        <v>S</v>
      </c>
      <c r="K36" s="5">
        <f>(I36-$R$7)/$R$8</f>
        <v>0.62162568652361427</v>
      </c>
      <c r="L36" s="5">
        <f>AVERAGE(E36,H36,K36)</f>
        <v>0.50899795907838585</v>
      </c>
      <c r="M36">
        <f>RANK(L36,$L$2:$L$125)</f>
        <v>32</v>
      </c>
    </row>
    <row r="37" spans="1:13" x14ac:dyDescent="0.25">
      <c r="A37" t="s">
        <v>42</v>
      </c>
      <c r="B37" s="1">
        <v>2007242</v>
      </c>
      <c r="C37">
        <v>23.6</v>
      </c>
      <c r="D37" t="str">
        <f>IF(C37="0","AB",IF(C37&gt;=67,"A",IF(C37&gt;=58,"B",IF(C37&gt;=43,"C",IF(C37&gt;=20,"S","W")))))</f>
        <v>S</v>
      </c>
      <c r="E37" s="5">
        <f>(C37-$P$7)/$P$8</f>
        <v>0.21594818617736408</v>
      </c>
      <c r="F37">
        <v>26</v>
      </c>
      <c r="G37" t="str">
        <f>IF(F37="0","AB",IF(F37&gt;=67,"A",IF(F37&gt;=58,"B",IF(F37&gt;=43,"C",IF(F37&gt;=20,"S","W")))))</f>
        <v>S</v>
      </c>
      <c r="H37" s="5">
        <f>(F37-$Q$7)/$Q$8</f>
        <v>0.47125817566807759</v>
      </c>
      <c r="I37">
        <v>24</v>
      </c>
      <c r="J37" t="str">
        <f>IF(I37="0","AB",IF(I37&gt;=67,"A",IF(I37&gt;=58,"B",IF(I37&gt;=43,"C",IF(I37&gt;=20,"S","W")))))</f>
        <v>S</v>
      </c>
      <c r="K37" s="5">
        <f>(I37-$R$7)/$R$8</f>
        <v>0.77426248875911563</v>
      </c>
      <c r="L37" s="5">
        <f>AVERAGE(E37,H37,K37)</f>
        <v>0.48715628353485246</v>
      </c>
      <c r="M37">
        <f>RANK(L37,$L$2:$L$125)</f>
        <v>33</v>
      </c>
    </row>
    <row r="38" spans="1:13" x14ac:dyDescent="0.25">
      <c r="A38" t="s">
        <v>82</v>
      </c>
      <c r="B38" s="1">
        <v>2007382</v>
      </c>
      <c r="C38">
        <v>29.65</v>
      </c>
      <c r="D38" t="str">
        <f>IF(C38="0","AB",IF(C38&gt;=67,"A",IF(C38&gt;=58,"B",IF(C38&gt;=43,"C",IF(C38&gt;=20,"S","W")))))</f>
        <v>S</v>
      </c>
      <c r="E38" s="5">
        <f>(C38-$P$7)/$P$8</f>
        <v>0.60459689856163401</v>
      </c>
      <c r="F38">
        <v>24</v>
      </c>
      <c r="G38" t="str">
        <f>IF(F38="0","AB",IF(F38&gt;=67,"A",IF(F38&gt;=58,"B",IF(F38&gt;=43,"C",IF(F38&gt;=20,"S","W")))))</f>
        <v>S</v>
      </c>
      <c r="H38" s="5">
        <f>(F38-$Q$7)/$Q$8</f>
        <v>0.32697172188328344</v>
      </c>
      <c r="I38">
        <v>20</v>
      </c>
      <c r="J38" t="str">
        <f>IF(I38="0","AB",IF(I38&gt;=67,"A",IF(I38&gt;=58,"B",IF(I38&gt;=43,"C",IF(I38&gt;=20,"S","W")))))</f>
        <v>S</v>
      </c>
      <c r="K38" s="5">
        <f>(I38-$R$7)/$R$8</f>
        <v>0.46898888428811297</v>
      </c>
      <c r="L38" s="5">
        <f>AVERAGE(E38,H38,K38)</f>
        <v>0.46685250157767677</v>
      </c>
      <c r="M38">
        <f>RANK(L38,$L$2:$L$125)</f>
        <v>34</v>
      </c>
    </row>
    <row r="39" spans="1:13" x14ac:dyDescent="0.25">
      <c r="A39" t="s">
        <v>17</v>
      </c>
      <c r="B39" s="1">
        <v>2007156</v>
      </c>
      <c r="C39">
        <v>21</v>
      </c>
      <c r="D39" t="str">
        <f>IF(C39="0","AB",IF(C39&gt;=67,"A",IF(C39&gt;=58,"B",IF(C39&gt;=43,"C",IF(C39&gt;=20,"S","W")))))</f>
        <v>S</v>
      </c>
      <c r="E39" s="5">
        <f>(C39-$P$7)/$P$8</f>
        <v>4.8925599037016515E-2</v>
      </c>
      <c r="F39">
        <v>23</v>
      </c>
      <c r="G39" t="str">
        <f>IF(F39="0","AB",IF(F39&gt;=67,"A",IF(F39&gt;=58,"B",IF(F39&gt;=43,"C",IF(F39&gt;=20,"S","W")))))</f>
        <v>S</v>
      </c>
      <c r="H39" s="5">
        <f>(F39-$Q$7)/$Q$8</f>
        <v>0.25482849499088639</v>
      </c>
      <c r="I39">
        <v>25</v>
      </c>
      <c r="J39" t="str">
        <f>IF(I39="0","AB",IF(I39&gt;=67,"A",IF(I39&gt;=58,"B",IF(I39&gt;=43,"C",IF(I39&gt;=20,"S","W")))))</f>
        <v>S</v>
      </c>
      <c r="K39" s="5">
        <f>(I39-$R$7)/$R$8</f>
        <v>0.85058088987686631</v>
      </c>
      <c r="L39" s="5">
        <f>AVERAGE(E39,H39,K39)</f>
        <v>0.3847783279682564</v>
      </c>
      <c r="M39">
        <f>RANK(L39,$L$2:$L$125)</f>
        <v>35</v>
      </c>
    </row>
    <row r="40" spans="1:13" x14ac:dyDescent="0.25">
      <c r="A40" t="s">
        <v>41</v>
      </c>
      <c r="B40" s="1">
        <v>2007241</v>
      </c>
      <c r="C40">
        <v>24.5</v>
      </c>
      <c r="D40" t="str">
        <f>IF(C40="0","AB",IF(C40&gt;=67,"A",IF(C40&gt;=58,"B",IF(C40&gt;=43,"C",IF(C40&gt;=20,"S","W")))))</f>
        <v>S</v>
      </c>
      <c r="E40" s="5">
        <f>(C40-$P$7)/$P$8</f>
        <v>0.2737636971105612</v>
      </c>
      <c r="F40">
        <v>26</v>
      </c>
      <c r="G40" s="6" t="str">
        <f>IF(F40="0","AB",IF(F40&gt;=67,"A",IF(F40&gt;=58,"B",IF(F40&gt;=43,"C",IF(F40&gt;=20,"S","W")))))</f>
        <v>S</v>
      </c>
      <c r="H40" s="5">
        <f>(F40-$Q$7)/$Q$8</f>
        <v>0.47125817566807759</v>
      </c>
      <c r="I40">
        <v>19</v>
      </c>
      <c r="J40" t="str">
        <f>IF(I40="0","AB",IF(I40&gt;=67,"A",IF(I40&gt;=58,"B",IF(I40&gt;=43,"C",IF(I40&gt;=20,"S","W")))))</f>
        <v>W</v>
      </c>
      <c r="K40" s="5">
        <f>(I40-$R$7)/$R$8</f>
        <v>0.39267048317036229</v>
      </c>
      <c r="L40" s="5" t="s">
        <v>132</v>
      </c>
      <c r="M40" t="s">
        <v>132</v>
      </c>
    </row>
    <row r="41" spans="1:13" x14ac:dyDescent="0.25">
      <c r="A41" t="s">
        <v>14</v>
      </c>
      <c r="B41" s="1">
        <v>2007135</v>
      </c>
      <c r="C41">
        <v>19.5</v>
      </c>
      <c r="D41" t="str">
        <f>IF(C41="0","AB",IF(C41&gt;=67,"A",IF(C41&gt;=58,"B",IF(C41&gt;=43,"C",IF(C41&gt;=20,"S","W")))))</f>
        <v>W</v>
      </c>
      <c r="E41" s="5">
        <f>(C41-$P$7)/$P$8</f>
        <v>-4.7433585851645498E-2</v>
      </c>
      <c r="F41">
        <v>33</v>
      </c>
      <c r="G41" s="6" t="str">
        <f>IF(F41="0","AB",IF(F41&gt;=67,"A",IF(F41&gt;=58,"B",IF(F41&gt;=43,"C",IF(F41&gt;=20,"S","W")))))</f>
        <v>S</v>
      </c>
      <c r="H41" s="5">
        <f>(F41-$Q$7)/$Q$8</f>
        <v>0.97626076391485705</v>
      </c>
      <c r="I41">
        <v>16</v>
      </c>
      <c r="J41" t="str">
        <f>IF(I41="0","AB",IF(I41&gt;=67,"A",IF(I41&gt;=58,"B",IF(I41&gt;=43,"C",IF(I41&gt;=20,"S","W")))))</f>
        <v>W</v>
      </c>
      <c r="K41" s="5">
        <f>(I41-$R$7)/$R$8</f>
        <v>0.16371527981711026</v>
      </c>
      <c r="L41" s="5" t="s">
        <v>132</v>
      </c>
      <c r="M41" t="s">
        <v>132</v>
      </c>
    </row>
    <row r="42" spans="1:13" x14ac:dyDescent="0.25">
      <c r="A42" t="s">
        <v>94</v>
      </c>
      <c r="B42" s="1">
        <v>2007419</v>
      </c>
      <c r="C42">
        <v>17.899999999999999</v>
      </c>
      <c r="D42" t="str">
        <f>IF(C42="0","AB",IF(C42&gt;=67,"A",IF(C42&gt;=58,"B",IF(C42&gt;=43,"C",IF(C42&gt;=20,"S","W")))))</f>
        <v>W</v>
      </c>
      <c r="E42" s="5">
        <f>(C42-$P$7)/$P$8</f>
        <v>-0.15021671639955173</v>
      </c>
      <c r="F42">
        <v>30</v>
      </c>
      <c r="G42" t="str">
        <f>IF(F42="0","AB",IF(F42&gt;=67,"A",IF(F42&gt;=58,"B",IF(F42&gt;=43,"C",IF(F42&gt;=20,"S","W")))))</f>
        <v>S</v>
      </c>
      <c r="H42" s="5">
        <f>(F42-$Q$7)/$Q$8</f>
        <v>0.75983108323766591</v>
      </c>
      <c r="I42">
        <v>20</v>
      </c>
      <c r="J42" t="str">
        <f>IF(I42="0","AB",IF(I42&gt;=67,"A",IF(I42&gt;=58,"B",IF(I42&gt;=43,"C",IF(I42&gt;=20,"S","W")))))</f>
        <v>S</v>
      </c>
      <c r="K42" s="5">
        <f>(I42-$R$7)/$R$8</f>
        <v>0.46898888428811297</v>
      </c>
      <c r="L42" s="5" t="s">
        <v>132</v>
      </c>
      <c r="M42" t="s">
        <v>132</v>
      </c>
    </row>
    <row r="43" spans="1:13" x14ac:dyDescent="0.25">
      <c r="A43" t="s">
        <v>16</v>
      </c>
      <c r="B43" s="1">
        <v>2007155</v>
      </c>
      <c r="C43">
        <v>35.4</v>
      </c>
      <c r="D43" t="str">
        <f>IF(C43="0","AB",IF(C43&gt;=67,"A",IF(C43&gt;=58,"B",IF(C43&gt;=43,"C",IF(C43&gt;=20,"S","W")))))</f>
        <v>S</v>
      </c>
      <c r="E43" s="5">
        <f>(C43-$P$7)/$P$8</f>
        <v>0.97397377396817175</v>
      </c>
      <c r="F43">
        <v>15</v>
      </c>
      <c r="G43" t="str">
        <f>IF(F43="0","AB",IF(F43&gt;=67,"A",IF(F43&gt;=58,"B",IF(F43&gt;=43,"C",IF(F43&gt;=20,"S","W")))))</f>
        <v>W</v>
      </c>
      <c r="H43" s="5">
        <f>(F43-$Q$7)/$Q$8</f>
        <v>-0.32231732014829023</v>
      </c>
      <c r="I43">
        <v>18</v>
      </c>
      <c r="J43" t="str">
        <f>IF(I43="0","AB",IF(I43&gt;=67,"A",IF(I43&gt;=58,"B",IF(I43&gt;=43,"C",IF(I43&gt;=20,"S","W")))))</f>
        <v>W</v>
      </c>
      <c r="K43" s="5">
        <f>(I43-$R$7)/$R$8</f>
        <v>0.31635208205261162</v>
      </c>
      <c r="L43" s="5" t="s">
        <v>132</v>
      </c>
      <c r="M43" t="s">
        <v>132</v>
      </c>
    </row>
    <row r="44" spans="1:13" x14ac:dyDescent="0.25">
      <c r="A44" t="s">
        <v>66</v>
      </c>
      <c r="B44" s="1">
        <v>2007312</v>
      </c>
      <c r="C44">
        <v>17.25</v>
      </c>
      <c r="D44" t="str">
        <f>IF(C44="0","AB",IF(C44&gt;=67,"A",IF(C44&gt;=58,"B",IF(C44&gt;=43,"C",IF(C44&gt;=20,"S","W")))))</f>
        <v>W</v>
      </c>
      <c r="E44" s="5">
        <f>(C44-$P$7)/$P$8</f>
        <v>-0.19197236318463851</v>
      </c>
      <c r="F44">
        <v>23</v>
      </c>
      <c r="G44" t="str">
        <f>IF(F44="0","AB",IF(F44&gt;=67,"A",IF(F44&gt;=58,"B",IF(F44&gt;=43,"C",IF(F44&gt;=20,"S","W")))))</f>
        <v>S</v>
      </c>
      <c r="H44" s="5">
        <f>(F44-$Q$7)/$Q$8</f>
        <v>0.25482849499088639</v>
      </c>
      <c r="I44">
        <v>25</v>
      </c>
      <c r="J44" t="str">
        <f>IF(I44="0","AB",IF(I44&gt;=67,"A",IF(I44&gt;=58,"B",IF(I44&gt;=43,"C",IF(I44&gt;=20,"S","W")))))</f>
        <v>S</v>
      </c>
      <c r="K44" s="5">
        <f>(I44-$R$7)/$R$8</f>
        <v>0.85058088987686631</v>
      </c>
      <c r="L44" s="5" t="s">
        <v>132</v>
      </c>
      <c r="M44" t="s">
        <v>132</v>
      </c>
    </row>
    <row r="45" spans="1:13" x14ac:dyDescent="0.25">
      <c r="A45" t="s">
        <v>6</v>
      </c>
      <c r="B45" s="1">
        <v>2007112</v>
      </c>
      <c r="C45">
        <v>14.75</v>
      </c>
      <c r="D45" t="str">
        <f>IF(C45="0","AB",IF(C45&gt;=67,"A",IF(C45&gt;=58,"B",IF(C45&gt;=43,"C",IF(C45&gt;=20,"S","W")))))</f>
        <v>W</v>
      </c>
      <c r="E45" s="5">
        <f>(C45-$P$7)/$P$8</f>
        <v>-0.35257100466574187</v>
      </c>
      <c r="F45">
        <v>39</v>
      </c>
      <c r="G45" t="str">
        <f>IF(F45="0","AB",IF(F45&gt;=67,"A",IF(F45&gt;=58,"B",IF(F45&gt;=43,"C",IF(F45&gt;=20,"S","W")))))</f>
        <v>S</v>
      </c>
      <c r="H45" s="5">
        <f>(F45-$Q$7)/$Q$8</f>
        <v>1.4091201252692396</v>
      </c>
      <c r="I45">
        <v>11</v>
      </c>
      <c r="J45" t="str">
        <f>IF(I45="0","AB",IF(I45&gt;=67,"A",IF(I45&gt;=58,"B",IF(I45&gt;=43,"C",IF(I45&gt;=20,"S","W")))))</f>
        <v>W</v>
      </c>
      <c r="K45" s="5">
        <f>(I45-$R$7)/$R$8</f>
        <v>-0.21787672577164308</v>
      </c>
      <c r="L45" s="5" t="s">
        <v>132</v>
      </c>
      <c r="M45" t="s">
        <v>132</v>
      </c>
    </row>
    <row r="46" spans="1:13" x14ac:dyDescent="0.25">
      <c r="A46" t="s">
        <v>69</v>
      </c>
      <c r="B46" s="1">
        <v>2007321</v>
      </c>
      <c r="C46">
        <v>25</v>
      </c>
      <c r="D46" t="str">
        <f>IF(C46="0","AB",IF(C46&gt;=67,"A",IF(C46&gt;=58,"B",IF(C46&gt;=43,"C",IF(C46&gt;=20,"S","W")))))</f>
        <v>S</v>
      </c>
      <c r="E46" s="5">
        <f>(C46-$P$7)/$P$8</f>
        <v>0.30588342540678187</v>
      </c>
      <c r="F46">
        <v>19</v>
      </c>
      <c r="G46" t="str">
        <f>IF(F46="0","AB",IF(F46&gt;=67,"A",IF(F46&gt;=58,"B",IF(F46&gt;=43,"C",IF(F46&gt;=20,"S","W")))))</f>
        <v>W</v>
      </c>
      <c r="H46" s="5">
        <f>(F46-$Q$7)/$Q$8</f>
        <v>-3.3744412578701921E-2</v>
      </c>
      <c r="I46">
        <v>18</v>
      </c>
      <c r="J46" t="str">
        <f>IF(I46="0","AB",IF(I46&gt;=67,"A",IF(I46&gt;=58,"B",IF(I46&gt;=43,"C",IF(I46&gt;=20,"S","W")))))</f>
        <v>W</v>
      </c>
      <c r="K46" s="5">
        <f>(I46-$R$7)/$R$8</f>
        <v>0.31635208205261162</v>
      </c>
      <c r="L46" s="5" t="s">
        <v>132</v>
      </c>
      <c r="M46" t="s">
        <v>132</v>
      </c>
    </row>
    <row r="47" spans="1:13" x14ac:dyDescent="0.25">
      <c r="A47" t="s">
        <v>81</v>
      </c>
      <c r="B47" s="1">
        <v>2007381</v>
      </c>
      <c r="C47">
        <v>13</v>
      </c>
      <c r="D47" t="str">
        <f>IF(C47="0","AB",IF(C47&gt;=67,"A",IF(C47&gt;=58,"B",IF(C47&gt;=43,"C",IF(C47&gt;=20,"S","W")))))</f>
        <v>W</v>
      </c>
      <c r="E47" s="5">
        <f>(C47-$P$7)/$P$8</f>
        <v>-0.46499005370251417</v>
      </c>
      <c r="F47">
        <v>30</v>
      </c>
      <c r="G47" t="str">
        <f>IF(F47="0","AB",IF(F47&gt;=67,"A",IF(F47&gt;=58,"B",IF(F47&gt;=43,"C",IF(F47&gt;=20,"S","W")))))</f>
        <v>S</v>
      </c>
      <c r="H47" s="5">
        <f>(F47-$Q$7)/$Q$8</f>
        <v>0.75983108323766591</v>
      </c>
      <c r="I47">
        <v>17</v>
      </c>
      <c r="J47" t="str">
        <f>IF(I47="0","AB",IF(I47&gt;=67,"A",IF(I47&gt;=58,"B",IF(I47&gt;=43,"C",IF(I47&gt;=20,"S","W")))))</f>
        <v>W</v>
      </c>
      <c r="K47" s="5">
        <f>(I47-$R$7)/$R$8</f>
        <v>0.24003368093486094</v>
      </c>
      <c r="L47" s="5" t="s">
        <v>132</v>
      </c>
      <c r="M47" t="s">
        <v>132</v>
      </c>
    </row>
    <row r="48" spans="1:13" x14ac:dyDescent="0.25">
      <c r="A48" t="s">
        <v>33</v>
      </c>
      <c r="B48" s="1">
        <v>2007233</v>
      </c>
      <c r="C48">
        <v>15.05</v>
      </c>
      <c r="D48" t="str">
        <f>IF(C48="0","AB",IF(C48&gt;=67,"A",IF(C48&gt;=58,"B",IF(C48&gt;=43,"C",IF(C48&gt;=20,"S","W")))))</f>
        <v>W</v>
      </c>
      <c r="E48" s="5">
        <f>(C48-$P$7)/$P$8</f>
        <v>-0.33329916768800943</v>
      </c>
      <c r="F48">
        <v>26</v>
      </c>
      <c r="G48" t="str">
        <f>IF(F48="0","AB",IF(F48&gt;=67,"A",IF(F48&gt;=58,"B",IF(F48&gt;=43,"C",IF(F48&gt;=20,"S","W")))))</f>
        <v>S</v>
      </c>
      <c r="H48" s="5">
        <f>(F48-$Q$7)/$Q$8</f>
        <v>0.47125817566807759</v>
      </c>
      <c r="I48">
        <v>19</v>
      </c>
      <c r="J48" t="str">
        <f>IF(I48="0","AB",IF(I48&gt;=67,"A",IF(I48&gt;=58,"B",IF(I48&gt;=43,"C",IF(I48&gt;=20,"S","W")))))</f>
        <v>W</v>
      </c>
      <c r="K48" s="5">
        <f>(I48-$R$7)/$R$8</f>
        <v>0.39267048317036229</v>
      </c>
      <c r="L48" s="5" t="s">
        <v>132</v>
      </c>
      <c r="M48" t="s">
        <v>132</v>
      </c>
    </row>
    <row r="49" spans="1:13" x14ac:dyDescent="0.25">
      <c r="A49" s="3" t="s">
        <v>112</v>
      </c>
      <c r="B49" s="4">
        <v>2007334</v>
      </c>
      <c r="C49">
        <v>22.5</v>
      </c>
      <c r="D49" t="str">
        <f>IF(C49="0","AB",IF(C49&gt;=67,"A",IF(C49&gt;=58,"B",IF(C49&gt;=43,"C",IF(C49&gt;=20,"S","W")))))</f>
        <v>S</v>
      </c>
      <c r="E49" s="5">
        <f>(C49-$P$7)/$P$8</f>
        <v>0.14528478392567853</v>
      </c>
      <c r="F49">
        <v>39</v>
      </c>
      <c r="G49" t="str">
        <f>IF(F49="0","AB",IF(F49&gt;=67,"A",IF(F49&gt;=58,"B",IF(F49&gt;=43,"C",IF(F49&gt;=20,"S","W")))))</f>
        <v>S</v>
      </c>
      <c r="H49" s="5">
        <f>(F49-$Q$7)/$Q$8</f>
        <v>1.4091201252692396</v>
      </c>
      <c r="I49">
        <v>0</v>
      </c>
      <c r="J49" t="str">
        <f>IF(I49="0","AB",IF(I49&gt;=67,"A",IF(I49&gt;=58,"B",IF(I49&gt;=43,"C",IF(I49&gt;=20,"S","W")))))</f>
        <v>W</v>
      </c>
      <c r="K49" s="5">
        <f>(I49-$R$7)/$R$8</f>
        <v>-1.0573791380669004</v>
      </c>
      <c r="L49" s="5" t="s">
        <v>132</v>
      </c>
      <c r="M49" t="s">
        <v>132</v>
      </c>
    </row>
    <row r="50" spans="1:13" x14ac:dyDescent="0.25">
      <c r="A50" t="s">
        <v>23</v>
      </c>
      <c r="B50" s="1">
        <v>2007171</v>
      </c>
      <c r="C50">
        <v>12.9</v>
      </c>
      <c r="D50" t="str">
        <f>IF(C50="0","AB",IF(C50&gt;=67,"A",IF(C50&gt;=58,"B",IF(C50&gt;=43,"C",IF(C50&gt;=20,"S","W")))))</f>
        <v>W</v>
      </c>
      <c r="E50" s="5">
        <f>(C50-$P$7)/$P$8</f>
        <v>-0.47141399936175832</v>
      </c>
      <c r="F50">
        <v>26</v>
      </c>
      <c r="G50" t="str">
        <f>IF(F50="0","AB",IF(F50&gt;=67,"A",IF(F50&gt;=58,"B",IF(F50&gt;=43,"C",IF(F50&gt;=20,"S","W")))))</f>
        <v>S</v>
      </c>
      <c r="H50" s="5">
        <f>(F50-$Q$7)/$Q$8</f>
        <v>0.47125817566807759</v>
      </c>
      <c r="I50">
        <v>19</v>
      </c>
      <c r="J50" t="str">
        <f>IF(I50="0","AB",IF(I50&gt;=67,"A",IF(I50&gt;=58,"B",IF(I50&gt;=43,"C",IF(I50&gt;=20,"S","W")))))</f>
        <v>W</v>
      </c>
      <c r="K50" s="5">
        <f>(I50-$R$7)/$R$8</f>
        <v>0.39267048317036229</v>
      </c>
      <c r="L50" s="5" t="s">
        <v>132</v>
      </c>
      <c r="M50" t="s">
        <v>132</v>
      </c>
    </row>
    <row r="51" spans="1:13" x14ac:dyDescent="0.25">
      <c r="A51" t="s">
        <v>108</v>
      </c>
      <c r="B51" s="1">
        <v>2007195</v>
      </c>
      <c r="C51">
        <v>30</v>
      </c>
      <c r="D51" t="str">
        <f>IF(C51="0","AB",IF(C51&gt;=67,"A",IF(C51&gt;=58,"B",IF(C51&gt;=43,"C",IF(C51&gt;=20,"S","W")))))</f>
        <v>S</v>
      </c>
      <c r="E51" s="5">
        <f>(C51-$P$7)/$P$8</f>
        <v>0.62708070836898855</v>
      </c>
      <c r="F51">
        <v>27</v>
      </c>
      <c r="G51" t="str">
        <f>IF(F51="0","AB",IF(F51&gt;=67,"A",IF(F51&gt;=58,"B",IF(F51&gt;=43,"C",IF(F51&gt;=20,"S","W")))))</f>
        <v>S</v>
      </c>
      <c r="H51" s="5">
        <f>(F51-$Q$7)/$Q$8</f>
        <v>0.54340140256047464</v>
      </c>
      <c r="I51">
        <v>0</v>
      </c>
      <c r="J51" t="str">
        <f>IF(I51="0","AB",IF(I51&gt;=67,"A",IF(I51&gt;=58,"B",IF(I51&gt;=43,"C",IF(I51&gt;=20,"S","W")))))</f>
        <v>W</v>
      </c>
      <c r="K51" s="5">
        <f>(I51-$R$7)/$R$8</f>
        <v>-1.0573791380669004</v>
      </c>
      <c r="L51" s="5" t="s">
        <v>132</v>
      </c>
      <c r="M51" t="s">
        <v>132</v>
      </c>
    </row>
    <row r="52" spans="1:13" x14ac:dyDescent="0.25">
      <c r="A52" t="s">
        <v>93</v>
      </c>
      <c r="B52" s="1">
        <v>2007416</v>
      </c>
      <c r="C52">
        <v>22.5</v>
      </c>
      <c r="D52" t="str">
        <f>IF(C52="0","AB",IF(C52&gt;=67,"A",IF(C52&gt;=58,"B",IF(C52&gt;=43,"C",IF(C52&gt;=20,"S","W")))))</f>
        <v>S</v>
      </c>
      <c r="E52" s="5">
        <f>(C52-$P$7)/$P$8</f>
        <v>0.14528478392567853</v>
      </c>
      <c r="F52">
        <v>22</v>
      </c>
      <c r="G52" t="str">
        <f>IF(F52="0","AB",IF(F52&gt;=67,"A",IF(F52&gt;=58,"B",IF(F52&gt;=43,"C",IF(F52&gt;=20,"S","W")))))</f>
        <v>S</v>
      </c>
      <c r="H52" s="5">
        <f>(F52-$Q$7)/$Q$8</f>
        <v>0.18268526809848928</v>
      </c>
      <c r="I52">
        <v>11</v>
      </c>
      <c r="J52" t="str">
        <f>IF(I52="0","AB",IF(I52&gt;=67,"A",IF(I52&gt;=58,"B",IF(I52&gt;=43,"C",IF(I52&gt;=20,"S","W")))))</f>
        <v>W</v>
      </c>
      <c r="K52" s="5">
        <f>(I52-$R$7)/$R$8</f>
        <v>-0.21787672577164308</v>
      </c>
      <c r="L52" s="5" t="s">
        <v>132</v>
      </c>
      <c r="M52" t="s">
        <v>132</v>
      </c>
    </row>
    <row r="53" spans="1:13" x14ac:dyDescent="0.25">
      <c r="A53" t="s">
        <v>40</v>
      </c>
      <c r="B53" s="1">
        <v>2007240</v>
      </c>
      <c r="C53">
        <v>6</v>
      </c>
      <c r="D53" t="str">
        <f>IF(C53="0","AB",IF(C53&gt;=67,"A",IF(C53&gt;=58,"B",IF(C53&gt;=43,"C",IF(C53&gt;=20,"S","W")))))</f>
        <v>W</v>
      </c>
      <c r="E53" s="5">
        <f>(C53-$P$7)/$P$8</f>
        <v>-0.91466624984960354</v>
      </c>
      <c r="F53">
        <v>26</v>
      </c>
      <c r="G53" t="str">
        <f>IF(F53="0","AB",IF(F53&gt;=67,"A",IF(F53&gt;=58,"B",IF(F53&gt;=43,"C",IF(F53&gt;=20,"S","W")))))</f>
        <v>S</v>
      </c>
      <c r="H53" s="5">
        <f>(F53-$Q$7)/$Q$8</f>
        <v>0.47125817566807759</v>
      </c>
      <c r="I53">
        <v>21</v>
      </c>
      <c r="J53" t="str">
        <f>IF(I53="0","AB",IF(I53&gt;=67,"A",IF(I53&gt;=58,"B",IF(I53&gt;=43,"C",IF(I53&gt;=20,"S","W")))))</f>
        <v>S</v>
      </c>
      <c r="K53" s="5">
        <f>(I53-$R$7)/$R$8</f>
        <v>0.5453072854058636</v>
      </c>
      <c r="L53" s="5" t="s">
        <v>132</v>
      </c>
      <c r="M53" t="s">
        <v>132</v>
      </c>
    </row>
    <row r="54" spans="1:13" x14ac:dyDescent="0.25">
      <c r="A54" t="s">
        <v>27</v>
      </c>
      <c r="B54" s="1">
        <v>2007183</v>
      </c>
      <c r="C54">
        <v>19.25</v>
      </c>
      <c r="D54" t="str">
        <f>IF(C54="0","AB",IF(C54&gt;=67,"A",IF(C54&gt;=58,"B",IF(C54&gt;=43,"C",IF(C54&gt;=20,"S","W")))))</f>
        <v>W</v>
      </c>
      <c r="E54" s="5">
        <f>(C54-$P$7)/$P$8</f>
        <v>-6.3493449999755827E-2</v>
      </c>
      <c r="F54">
        <v>15</v>
      </c>
      <c r="G54" t="str">
        <f>IF(F54="0","AB",IF(F54&gt;=67,"A",IF(F54&gt;=58,"B",IF(F54&gt;=43,"C",IF(F54&gt;=20,"S","W")))))</f>
        <v>W</v>
      </c>
      <c r="H54" s="5">
        <f>(F54-$Q$7)/$Q$8</f>
        <v>-0.32231732014829023</v>
      </c>
      <c r="I54">
        <v>20</v>
      </c>
      <c r="J54" t="str">
        <f>IF(I54="0","AB",IF(I54&gt;=67,"A",IF(I54&gt;=58,"B",IF(I54&gt;=43,"C",IF(I54&gt;=20,"S","W")))))</f>
        <v>S</v>
      </c>
      <c r="K54" s="5">
        <f>(I54-$R$7)/$R$8</f>
        <v>0.46898888428811297</v>
      </c>
      <c r="L54" s="5" t="s">
        <v>132</v>
      </c>
      <c r="M54" t="s">
        <v>132</v>
      </c>
    </row>
    <row r="55" spans="1:13" x14ac:dyDescent="0.25">
      <c r="A55" t="s">
        <v>24</v>
      </c>
      <c r="B55" s="1">
        <v>2007173</v>
      </c>
      <c r="C55">
        <v>13.4</v>
      </c>
      <c r="D55" t="str">
        <f>IF(C55="0","AB",IF(C55&gt;=67,"A",IF(C55&gt;=58,"B",IF(C55&gt;=43,"C",IF(C55&gt;=20,"S","W")))))</f>
        <v>W</v>
      </c>
      <c r="E55" s="5">
        <f>(C55-$P$7)/$P$8</f>
        <v>-0.43929427106553764</v>
      </c>
      <c r="F55">
        <v>21</v>
      </c>
      <c r="G55" t="str">
        <f>IF(F55="0","AB",IF(F55&gt;=67,"A",IF(F55&gt;=58,"B",IF(F55&gt;=43,"C",IF(F55&gt;=20,"S","W")))))</f>
        <v>S</v>
      </c>
      <c r="H55" s="5">
        <f>(F55-$Q$7)/$Q$8</f>
        <v>0.11054204120609222</v>
      </c>
      <c r="I55">
        <v>19</v>
      </c>
      <c r="J55" t="str">
        <f>IF(I55="0","AB",IF(I55&gt;=67,"A",IF(I55&gt;=58,"B",IF(I55&gt;=43,"C",IF(I55&gt;=20,"S","W")))))</f>
        <v>W</v>
      </c>
      <c r="K55" s="5">
        <f>(I55-$R$7)/$R$8</f>
        <v>0.39267048317036229</v>
      </c>
      <c r="L55" s="5" t="s">
        <v>132</v>
      </c>
      <c r="M55" t="s">
        <v>132</v>
      </c>
    </row>
    <row r="56" spans="1:13" x14ac:dyDescent="0.25">
      <c r="A56" t="s">
        <v>98</v>
      </c>
      <c r="B56" s="1">
        <v>2007422</v>
      </c>
      <c r="C56">
        <v>17.45</v>
      </c>
      <c r="D56" t="str">
        <f>IF(C56="0","AB",IF(C56&gt;=67,"A",IF(C56&gt;=58,"B",IF(C56&gt;=43,"C",IF(C56&gt;=20,"S","W")))))</f>
        <v>W</v>
      </c>
      <c r="E56" s="5">
        <f>(C56-$P$7)/$P$8</f>
        <v>-0.1791244718661503</v>
      </c>
      <c r="F56">
        <v>32</v>
      </c>
      <c r="G56" t="str">
        <f>IF(F56="0","AB",IF(F56&gt;=67,"A",IF(F56&gt;=58,"B",IF(F56&gt;=43,"C",IF(F56&gt;=20,"S","W")))))</f>
        <v>S</v>
      </c>
      <c r="H56" s="5">
        <f>(F56-$Q$7)/$Q$8</f>
        <v>0.90411753702246</v>
      </c>
      <c r="I56">
        <v>5</v>
      </c>
      <c r="J56" t="str">
        <f>IF(I56="0","AB",IF(I56&gt;=67,"A",IF(I56&gt;=58,"B",IF(I56&gt;=43,"C",IF(I56&gt;=20,"S","W")))))</f>
        <v>W</v>
      </c>
      <c r="K56" s="5">
        <f>(I56-$R$7)/$R$8</f>
        <v>-0.67578713247814715</v>
      </c>
      <c r="L56" s="5" t="s">
        <v>132</v>
      </c>
      <c r="M56" t="s">
        <v>132</v>
      </c>
    </row>
    <row r="57" spans="1:13" x14ac:dyDescent="0.25">
      <c r="A57" t="s">
        <v>64</v>
      </c>
      <c r="B57" s="1">
        <v>2007310</v>
      </c>
      <c r="C57">
        <v>18.25</v>
      </c>
      <c r="D57" t="str">
        <f>IF(C57="0","AB",IF(C57&gt;=67,"A",IF(C57&gt;=58,"B",IF(C57&gt;=43,"C",IF(C57&gt;=20,"S","W")))))</f>
        <v>W</v>
      </c>
      <c r="E57" s="5">
        <f>(C57-$P$7)/$P$8</f>
        <v>-0.12773290659219716</v>
      </c>
      <c r="F57">
        <v>22</v>
      </c>
      <c r="G57" t="str">
        <f>IF(F57="0","AB",IF(F57&gt;=67,"A",IF(F57&gt;=58,"B",IF(F57&gt;=43,"C",IF(F57&gt;=20,"S","W")))))</f>
        <v>S</v>
      </c>
      <c r="H57" s="5">
        <f>(F57-$Q$7)/$Q$8</f>
        <v>0.18268526809848928</v>
      </c>
      <c r="I57">
        <v>13</v>
      </c>
      <c r="J57" t="str">
        <f>IF(I57="0","AB",IF(I57&gt;=67,"A",IF(I57&gt;=58,"B",IF(I57&gt;=43,"C",IF(I57&gt;=20,"S","W")))))</f>
        <v>W</v>
      </c>
      <c r="K57" s="5">
        <f>(I57-$R$7)/$R$8</f>
        <v>-6.5239923536141747E-2</v>
      </c>
      <c r="L57" s="5" t="s">
        <v>132</v>
      </c>
      <c r="M57" t="s">
        <v>132</v>
      </c>
    </row>
    <row r="58" spans="1:13" x14ac:dyDescent="0.25">
      <c r="A58" t="s">
        <v>35</v>
      </c>
      <c r="B58" s="1">
        <v>2007235</v>
      </c>
      <c r="C58">
        <v>13.5</v>
      </c>
      <c r="D58" t="str">
        <f>IF(C58="0","AB",IF(C58&gt;=67,"A",IF(C58&gt;=58,"B",IF(C58&gt;=43,"C",IF(C58&gt;=20,"S","W")))))</f>
        <v>W</v>
      </c>
      <c r="E58" s="5">
        <f>(C58-$P$7)/$P$8</f>
        <v>-0.43287032540629355</v>
      </c>
      <c r="F58">
        <v>26</v>
      </c>
      <c r="G58" t="str">
        <f>IF(F58="0","AB",IF(F58&gt;=67,"A",IF(F58&gt;=58,"B",IF(F58&gt;=43,"C",IF(F58&gt;=20,"S","W")))))</f>
        <v>S</v>
      </c>
      <c r="H58" s="5">
        <f>(F58-$Q$7)/$Q$8</f>
        <v>0.47125817566807759</v>
      </c>
      <c r="I58">
        <v>13</v>
      </c>
      <c r="J58" t="str">
        <f>IF(I58="0","AB",IF(I58&gt;=67,"A",IF(I58&gt;=58,"B",IF(I58&gt;=43,"C",IF(I58&gt;=20,"S","W")))))</f>
        <v>W</v>
      </c>
      <c r="K58" s="5">
        <f>(I58-$R$7)/$R$8</f>
        <v>-6.5239923536141747E-2</v>
      </c>
      <c r="L58" s="5" t="s">
        <v>132</v>
      </c>
      <c r="M58" t="s">
        <v>132</v>
      </c>
    </row>
    <row r="59" spans="1:13" x14ac:dyDescent="0.25">
      <c r="A59" t="s">
        <v>5</v>
      </c>
      <c r="B59" s="1">
        <v>2007111</v>
      </c>
      <c r="C59">
        <v>15.45</v>
      </c>
      <c r="D59" t="str">
        <f>IF(C59="0","AB",IF(C59&gt;=67,"A",IF(C59&gt;=58,"B",IF(C59&gt;=43,"C",IF(C59&gt;=20,"S","W")))))</f>
        <v>W</v>
      </c>
      <c r="E59" s="5">
        <f>(C59-$P$7)/$P$8</f>
        <v>-0.30760338505103296</v>
      </c>
      <c r="F59">
        <v>22</v>
      </c>
      <c r="G59" t="str">
        <f>IF(F59="0","AB",IF(F59&gt;=67,"A",IF(F59&gt;=58,"B",IF(F59&gt;=43,"C",IF(F59&gt;=20,"S","W")))))</f>
        <v>S</v>
      </c>
      <c r="H59" s="5">
        <f>(F59-$Q$7)/$Q$8</f>
        <v>0.18268526809848928</v>
      </c>
      <c r="I59">
        <v>15</v>
      </c>
      <c r="J59" t="str">
        <f>IF(I59="0","AB",IF(I59&gt;=67,"A",IF(I59&gt;=58,"B",IF(I59&gt;=43,"C",IF(I59&gt;=20,"S","W")))))</f>
        <v>W</v>
      </c>
      <c r="K59" s="5">
        <f>(I59-$R$7)/$R$8</f>
        <v>8.7396878699359595E-2</v>
      </c>
      <c r="L59" s="5" t="s">
        <v>132</v>
      </c>
      <c r="M59" t="s">
        <v>132</v>
      </c>
    </row>
    <row r="60" spans="1:13" x14ac:dyDescent="0.25">
      <c r="A60" t="s">
        <v>12</v>
      </c>
      <c r="B60" s="1">
        <v>2007118</v>
      </c>
      <c r="C60">
        <v>24.05</v>
      </c>
      <c r="D60" t="str">
        <f>IF(C60="0","AB",IF(C60&gt;=67,"A",IF(C60&gt;=58,"B",IF(C60&gt;=43,"C",IF(C60&gt;=20,"S","W")))))</f>
        <v>S</v>
      </c>
      <c r="E60" s="5">
        <f>(C60-$P$7)/$P$8</f>
        <v>0.24485594164396265</v>
      </c>
      <c r="F60">
        <v>16</v>
      </c>
      <c r="G60" t="str">
        <f>IF(F60="0","AB",IF(F60&gt;=67,"A",IF(F60&gt;=58,"B",IF(F60&gt;=43,"C",IF(F60&gt;=20,"S","W")))))</f>
        <v>W</v>
      </c>
      <c r="H60" s="5">
        <f>(F60-$Q$7)/$Q$8</f>
        <v>-0.25017409325589313</v>
      </c>
      <c r="I60">
        <v>13</v>
      </c>
      <c r="J60" t="str">
        <f>IF(I60="0","AB",IF(I60&gt;=67,"A",IF(I60&gt;=58,"B",IF(I60&gt;=43,"C",IF(I60&gt;=20,"S","W")))))</f>
        <v>W</v>
      </c>
      <c r="K60" s="5">
        <f>(I60-$R$7)/$R$8</f>
        <v>-6.5239923536141747E-2</v>
      </c>
      <c r="L60" s="5" t="s">
        <v>132</v>
      </c>
      <c r="M60" t="s">
        <v>132</v>
      </c>
    </row>
    <row r="61" spans="1:13" x14ac:dyDescent="0.25">
      <c r="A61" t="s">
        <v>74</v>
      </c>
      <c r="B61" s="1">
        <v>2007360</v>
      </c>
      <c r="C61">
        <v>23</v>
      </c>
      <c r="D61" t="str">
        <f>IF(C61="0","AB",IF(C61&gt;=67,"A",IF(C61&gt;=58,"B",IF(C61&gt;=43,"C",IF(C61&gt;=20,"S","W")))))</f>
        <v>S</v>
      </c>
      <c r="E61" s="5">
        <f>(C61-$P$7)/$P$8</f>
        <v>0.17740451222189918</v>
      </c>
      <c r="F61">
        <v>19</v>
      </c>
      <c r="G61" t="str">
        <f>IF(F61="0","AB",IF(F61&gt;=67,"A",IF(F61&gt;=58,"B",IF(F61&gt;=43,"C",IF(F61&gt;=20,"S","W")))))</f>
        <v>W</v>
      </c>
      <c r="H61" s="5">
        <f>(F61-$Q$7)/$Q$8</f>
        <v>-3.3744412578701921E-2</v>
      </c>
      <c r="I61">
        <v>10</v>
      </c>
      <c r="J61" t="str">
        <f>IF(I61="0","AB",IF(I61&gt;=67,"A",IF(I61&gt;=58,"B",IF(I61&gt;=43,"C",IF(I61&gt;=20,"S","W")))))</f>
        <v>W</v>
      </c>
      <c r="K61" s="5">
        <f>(I61-$R$7)/$R$8</f>
        <v>-0.29419512688939375</v>
      </c>
      <c r="L61" s="5" t="s">
        <v>132</v>
      </c>
      <c r="M61" t="s">
        <v>132</v>
      </c>
    </row>
    <row r="62" spans="1:13" x14ac:dyDescent="0.25">
      <c r="A62" t="s">
        <v>84</v>
      </c>
      <c r="B62" s="1">
        <v>2007386</v>
      </c>
      <c r="C62">
        <v>23</v>
      </c>
      <c r="D62" t="str">
        <f>IF(C62="0","AB",IF(C62&gt;=67,"A",IF(C62&gt;=58,"B",IF(C62&gt;=43,"C",IF(C62&gt;=20,"S","W")))))</f>
        <v>S</v>
      </c>
      <c r="E62" s="5">
        <f>(C62-$P$7)/$P$8</f>
        <v>0.17740451222189918</v>
      </c>
      <c r="F62">
        <v>18</v>
      </c>
      <c r="G62" t="str">
        <f>IF(F62="0","AB",IF(F62&gt;=67,"A",IF(F62&gt;=58,"B",IF(F62&gt;=43,"C",IF(F62&gt;=20,"S","W")))))</f>
        <v>W</v>
      </c>
      <c r="H62" s="5">
        <f>(F62-$Q$7)/$Q$8</f>
        <v>-0.105887639471099</v>
      </c>
      <c r="I62">
        <v>10</v>
      </c>
      <c r="J62" t="str">
        <f>IF(I62="0","AB",IF(I62&gt;=67,"A",IF(I62&gt;=58,"B",IF(I62&gt;=43,"C",IF(I62&gt;=20,"S","W")))))</f>
        <v>W</v>
      </c>
      <c r="K62" s="5">
        <f>(I62-$R$7)/$R$8</f>
        <v>-0.29419512688939375</v>
      </c>
      <c r="L62" s="5" t="s">
        <v>132</v>
      </c>
      <c r="M62" t="s">
        <v>132</v>
      </c>
    </row>
    <row r="63" spans="1:13" x14ac:dyDescent="0.25">
      <c r="A63" t="s">
        <v>123</v>
      </c>
      <c r="B63" s="1">
        <v>2007190</v>
      </c>
      <c r="C63">
        <v>29.85</v>
      </c>
      <c r="D63" t="str">
        <f>IF(C63="0","AB",IF(C63&gt;=67,"A",IF(C63&gt;=58,"B",IF(C63&gt;=43,"C",IF(C63&gt;=20,"S","W")))))</f>
        <v>S</v>
      </c>
      <c r="E63" s="5">
        <f>(C63-$P$7)/$P$8</f>
        <v>0.61744478988012241</v>
      </c>
      <c r="F63">
        <v>22</v>
      </c>
      <c r="G63" t="str">
        <f>IF(F63="0","AB",IF(F63&gt;=67,"A",IF(F63&gt;=58,"B",IF(F63&gt;=43,"C",IF(F63&gt;=20,"S","W")))))</f>
        <v>S</v>
      </c>
      <c r="H63" s="5">
        <f>(F63-$Q$7)/$Q$8</f>
        <v>0.18268526809848928</v>
      </c>
      <c r="I63">
        <v>0</v>
      </c>
      <c r="J63" t="str">
        <f>IF(I63="0","AB",IF(I63&gt;=67,"A",IF(I63&gt;=58,"B",IF(I63&gt;=43,"C",IF(I63&gt;=20,"S","W")))))</f>
        <v>W</v>
      </c>
      <c r="K63" s="5">
        <f>(I63-$R$7)/$R$8</f>
        <v>-1.0573791380669004</v>
      </c>
      <c r="L63" s="5" t="s">
        <v>132</v>
      </c>
      <c r="M63" t="s">
        <v>132</v>
      </c>
    </row>
    <row r="64" spans="1:13" x14ac:dyDescent="0.25">
      <c r="A64" t="s">
        <v>46</v>
      </c>
      <c r="B64" s="1">
        <v>2007246</v>
      </c>
      <c r="C64">
        <v>14.25</v>
      </c>
      <c r="D64" t="str">
        <f>IF(C64="0","AB",IF(C64&gt;=67,"A",IF(C64&gt;=58,"B",IF(C64&gt;=43,"C",IF(C64&gt;=20,"S","W")))))</f>
        <v>W</v>
      </c>
      <c r="E64" s="5">
        <f>(C64-$P$7)/$P$8</f>
        <v>-0.38469073296196254</v>
      </c>
      <c r="F64">
        <v>15</v>
      </c>
      <c r="G64" t="str">
        <f>IF(F64="0","AB",IF(F64&gt;=67,"A",IF(F64&gt;=58,"B",IF(F64&gt;=43,"C",IF(F64&gt;=20,"S","W")))))</f>
        <v>W</v>
      </c>
      <c r="H64" s="5">
        <f>(F64-$Q$7)/$Q$8</f>
        <v>-0.32231732014829023</v>
      </c>
      <c r="I64">
        <v>19</v>
      </c>
      <c r="J64" t="str">
        <f>IF(I64="0","AB",IF(I64&gt;=67,"A",IF(I64&gt;=58,"B",IF(I64&gt;=43,"C",IF(I64&gt;=20,"S","W")))))</f>
        <v>W</v>
      </c>
      <c r="K64" s="5">
        <f>(I64-$R$7)/$R$8</f>
        <v>0.39267048317036229</v>
      </c>
      <c r="L64" s="5" t="s">
        <v>132</v>
      </c>
      <c r="M64" t="s">
        <v>132</v>
      </c>
    </row>
    <row r="65" spans="1:13" x14ac:dyDescent="0.25">
      <c r="A65" t="s">
        <v>25</v>
      </c>
      <c r="B65" s="1">
        <v>2007174</v>
      </c>
      <c r="C65">
        <v>15.75</v>
      </c>
      <c r="D65" t="str">
        <f>IF(C65="0","AB",IF(C65&gt;=67,"A",IF(C65&gt;=58,"B",IF(C65&gt;=43,"C",IF(C65&gt;=20,"S","W")))))</f>
        <v>W</v>
      </c>
      <c r="E65" s="5">
        <f>(C65-$P$7)/$P$8</f>
        <v>-0.28833154807330053</v>
      </c>
      <c r="F65">
        <v>14</v>
      </c>
      <c r="G65" t="str">
        <f>IF(F65="0","AB",IF(F65&gt;=67,"A",IF(F65&gt;=58,"B",IF(F65&gt;=43,"C",IF(F65&gt;=20,"S","W")))))</f>
        <v>W</v>
      </c>
      <c r="H65" s="5">
        <f>(F65-$Q$7)/$Q$8</f>
        <v>-0.39446054704068728</v>
      </c>
      <c r="I65">
        <v>18</v>
      </c>
      <c r="J65" t="str">
        <f>IF(I65="0","AB",IF(I65&gt;=67,"A",IF(I65&gt;=58,"B",IF(I65&gt;=43,"C",IF(I65&gt;=20,"S","W")))))</f>
        <v>W</v>
      </c>
      <c r="K65" s="5">
        <f>(I65-$R$7)/$R$8</f>
        <v>0.31635208205261162</v>
      </c>
      <c r="L65" s="5" t="s">
        <v>132</v>
      </c>
      <c r="M65" t="s">
        <v>132</v>
      </c>
    </row>
    <row r="66" spans="1:13" x14ac:dyDescent="0.25">
      <c r="A66" t="s">
        <v>62</v>
      </c>
      <c r="B66" s="1">
        <v>2007307</v>
      </c>
      <c r="C66">
        <v>8.9</v>
      </c>
      <c r="D66" t="str">
        <f>IF(C66="0","AB",IF(C66&gt;=67,"A",IF(C66&gt;=58,"B",IF(C66&gt;=43,"C",IF(C66&gt;=20,"S","W")))))</f>
        <v>W</v>
      </c>
      <c r="E66" s="5">
        <f>(C66-$P$7)/$P$8</f>
        <v>-0.7283718257315237</v>
      </c>
      <c r="F66">
        <v>19</v>
      </c>
      <c r="G66" t="str">
        <f>IF(F66="0","AB",IF(F66&gt;=67,"A",IF(F66&gt;=58,"B",IF(F66&gt;=43,"C",IF(F66&gt;=20,"S","W")))))</f>
        <v>W</v>
      </c>
      <c r="H66" s="5">
        <f>(F66-$Q$7)/$Q$8</f>
        <v>-3.3744412578701921E-2</v>
      </c>
      <c r="I66">
        <v>19</v>
      </c>
      <c r="J66" t="str">
        <f>IF(I66="0","AB",IF(I66&gt;=67,"A",IF(I66&gt;=58,"B",IF(I66&gt;=43,"C",IF(I66&gt;=20,"S","W")))))</f>
        <v>W</v>
      </c>
      <c r="K66" s="5">
        <f>(I66-$R$7)/$R$8</f>
        <v>0.39267048317036229</v>
      </c>
      <c r="L66" s="5" t="s">
        <v>132</v>
      </c>
      <c r="M66" t="s">
        <v>132</v>
      </c>
    </row>
    <row r="67" spans="1:13" x14ac:dyDescent="0.25">
      <c r="A67" t="s">
        <v>59</v>
      </c>
      <c r="B67" s="1">
        <v>2007271</v>
      </c>
      <c r="C67">
        <v>32.75</v>
      </c>
      <c r="D67" t="str">
        <f>IF(C67="0","AB",IF(C67&gt;=67,"A",IF(C67&gt;=58,"B",IF(C67&gt;=43,"C",IF(C67&gt;=20,"S","W")))))</f>
        <v>S</v>
      </c>
      <c r="E67" s="5">
        <f>(C67-$P$7)/$P$8</f>
        <v>0.80373921399820225</v>
      </c>
      <c r="F67">
        <v>3</v>
      </c>
      <c r="G67" t="str">
        <f>IF(F67="0","AB",IF(F67&gt;=67,"A",IF(F67&gt;=58,"B",IF(F67&gt;=43,"C",IF(F67&gt;=20,"S","W")))))</f>
        <v>W</v>
      </c>
      <c r="H67" s="5">
        <f>(F67-$Q$7)/$Q$8</f>
        <v>-1.1880360428570551</v>
      </c>
      <c r="I67">
        <v>14</v>
      </c>
      <c r="J67" t="str">
        <f>IF(I67="0","AB",IF(I67&gt;=67,"A",IF(I67&gt;=58,"B",IF(I67&gt;=43,"C",IF(I67&gt;=20,"S","W")))))</f>
        <v>W</v>
      </c>
      <c r="K67" s="5">
        <f>(I67-$R$7)/$R$8</f>
        <v>1.1078477581608924E-2</v>
      </c>
      <c r="L67" s="5" t="s">
        <v>132</v>
      </c>
      <c r="M67" t="s">
        <v>132</v>
      </c>
    </row>
    <row r="68" spans="1:13" x14ac:dyDescent="0.25">
      <c r="A68" t="s">
        <v>79</v>
      </c>
      <c r="B68" s="1">
        <v>2007379</v>
      </c>
      <c r="C68">
        <v>16.75</v>
      </c>
      <c r="D68" t="str">
        <f>IF(C68="0","AB",IF(C68&gt;=67,"A",IF(C68&gt;=58,"B",IF(C68&gt;=43,"C",IF(C68&gt;=20,"S","W")))))</f>
        <v>W</v>
      </c>
      <c r="E68" s="5">
        <f>(C68-$P$7)/$P$8</f>
        <v>-0.22409209148085918</v>
      </c>
      <c r="F68">
        <v>32</v>
      </c>
      <c r="G68" t="str">
        <f>IF(F68="0","AB",IF(F68&gt;=67,"A",IF(F68&gt;=58,"B",IF(F68&gt;=43,"C",IF(F68&gt;=20,"S","W")))))</f>
        <v>S</v>
      </c>
      <c r="H68" s="5">
        <f>(F68-$Q$7)/$Q$8</f>
        <v>0.90411753702246</v>
      </c>
      <c r="I68">
        <v>0</v>
      </c>
      <c r="J68" t="str">
        <f>IF(I68="0","AB",IF(I68&gt;=67,"A",IF(I68&gt;=58,"B",IF(I68&gt;=43,"C",IF(I68&gt;=20,"S","W")))))</f>
        <v>W</v>
      </c>
      <c r="K68" s="5">
        <f>(I68-$R$7)/$R$8</f>
        <v>-1.0573791380669004</v>
      </c>
      <c r="L68" s="5" t="s">
        <v>132</v>
      </c>
      <c r="M68" t="s">
        <v>132</v>
      </c>
    </row>
    <row r="69" spans="1:13" x14ac:dyDescent="0.25">
      <c r="A69" t="s">
        <v>78</v>
      </c>
      <c r="B69" s="1">
        <v>2007375</v>
      </c>
      <c r="C69">
        <v>18.600000000000001</v>
      </c>
      <c r="D69" t="str">
        <f>IF(C69="0","AB",IF(C69&gt;=67,"A",IF(C69&gt;=58,"B",IF(C69&gt;=43,"C",IF(C69&gt;=20,"S","W")))))</f>
        <v>W</v>
      </c>
      <c r="E69" s="5">
        <f>(C69-$P$7)/$P$8</f>
        <v>-0.10524909678484261</v>
      </c>
      <c r="F69">
        <v>30</v>
      </c>
      <c r="G69" t="str">
        <f>IF(F69="0","AB",IF(F69&gt;=67,"A",IF(F69&gt;=58,"B",IF(F69&gt;=43,"C",IF(F69&gt;=20,"S","W")))))</f>
        <v>S</v>
      </c>
      <c r="H69" s="5">
        <f>(F69-$Q$7)/$Q$8</f>
        <v>0.75983108323766591</v>
      </c>
      <c r="I69">
        <v>0</v>
      </c>
      <c r="J69" t="str">
        <f>IF(I69="0","AB",IF(I69&gt;=67,"A",IF(I69&gt;=58,"B",IF(I69&gt;=43,"C",IF(I69&gt;=20,"S","W")))))</f>
        <v>W</v>
      </c>
      <c r="K69" s="5">
        <f>(I69-$R$7)/$R$8</f>
        <v>-1.0573791380669004</v>
      </c>
      <c r="L69" s="5" t="s">
        <v>132</v>
      </c>
      <c r="M69" t="s">
        <v>132</v>
      </c>
    </row>
    <row r="70" spans="1:13" x14ac:dyDescent="0.25">
      <c r="A70" t="s">
        <v>58</v>
      </c>
      <c r="B70" s="1">
        <v>2007270</v>
      </c>
      <c r="C70">
        <v>18.5</v>
      </c>
      <c r="D70" t="str">
        <f>IF(C70="0","AB",IF(C70&gt;=67,"A",IF(C70&gt;=58,"B",IF(C70&gt;=43,"C",IF(C70&gt;=20,"S","W")))))</f>
        <v>W</v>
      </c>
      <c r="E70" s="5">
        <f>(C70-$P$7)/$P$8</f>
        <v>-0.11167304244408684</v>
      </c>
      <c r="F70">
        <v>13</v>
      </c>
      <c r="G70" t="str">
        <f>IF(F70="0","AB",IF(F70&gt;=67,"A",IF(F70&gt;=58,"B",IF(F70&gt;=43,"C",IF(F70&gt;=20,"S","W")))))</f>
        <v>W</v>
      </c>
      <c r="H70" s="5">
        <f>(F70-$Q$7)/$Q$8</f>
        <v>-0.46660377393308433</v>
      </c>
      <c r="I70">
        <v>16</v>
      </c>
      <c r="J70" t="str">
        <f>IF(I70="0","AB",IF(I70&gt;=67,"A",IF(I70&gt;=58,"B",IF(I70&gt;=43,"C",IF(I70&gt;=20,"S","W")))))</f>
        <v>W</v>
      </c>
      <c r="K70" s="5">
        <f>(I70-$R$7)/$R$8</f>
        <v>0.16371527981711026</v>
      </c>
      <c r="L70" s="5" t="s">
        <v>132</v>
      </c>
      <c r="M70" t="s">
        <v>132</v>
      </c>
    </row>
    <row r="71" spans="1:13" x14ac:dyDescent="0.25">
      <c r="A71" t="s">
        <v>15</v>
      </c>
      <c r="B71" s="1">
        <v>2007137</v>
      </c>
      <c r="C71">
        <v>27.3</v>
      </c>
      <c r="D71" t="str">
        <f>IF(C71="0","AB",IF(C71&gt;=67,"A",IF(C71&gt;=58,"B",IF(C71&gt;=43,"C",IF(C71&gt;=20,"S","W")))))</f>
        <v>S</v>
      </c>
      <c r="E71" s="5">
        <f>(C71-$P$7)/$P$8</f>
        <v>0.453634175569397</v>
      </c>
      <c r="F71">
        <v>22</v>
      </c>
      <c r="G71" t="str">
        <f>IF(F71="0","AB",IF(F71&gt;=67,"A",IF(F71&gt;=58,"B",IF(F71&gt;=43,"C",IF(F71&gt;=20,"S","W")))))</f>
        <v>S</v>
      </c>
      <c r="H71" s="5">
        <f>(F71-$Q$7)/$Q$8</f>
        <v>0.18268526809848928</v>
      </c>
      <c r="I71">
        <v>0</v>
      </c>
      <c r="J71" t="str">
        <f>IF(I71="0","AB",IF(I71&gt;=67,"A",IF(I71&gt;=58,"B",IF(I71&gt;=43,"C",IF(I71&gt;=20,"S","W")))))</f>
        <v>W</v>
      </c>
      <c r="K71" s="5">
        <f>(I71-$R$7)/$R$8</f>
        <v>-1.0573791380669004</v>
      </c>
      <c r="L71" s="5" t="s">
        <v>132</v>
      </c>
      <c r="M71" t="s">
        <v>132</v>
      </c>
    </row>
    <row r="72" spans="1:13" x14ac:dyDescent="0.25">
      <c r="A72" t="s">
        <v>13</v>
      </c>
      <c r="B72" s="1">
        <v>2007119</v>
      </c>
      <c r="C72">
        <v>15.15</v>
      </c>
      <c r="D72" t="str">
        <f>IF(C72="0","AB",IF(C72&gt;=67,"A",IF(C72&gt;=58,"B",IF(C72&gt;=43,"C",IF(C72&gt;=20,"S","W")))))</f>
        <v>W</v>
      </c>
      <c r="E72" s="5">
        <f>(C72-$P$7)/$P$8</f>
        <v>-0.32687522202876529</v>
      </c>
      <c r="F72">
        <v>24</v>
      </c>
      <c r="G72" t="str">
        <f>IF(F72="0","AB",IF(F72&gt;=67,"A",IF(F72&gt;=58,"B",IF(F72&gt;=43,"C",IF(F72&gt;=20,"S","W")))))</f>
        <v>S</v>
      </c>
      <c r="H72" s="5">
        <f>(F72-$Q$7)/$Q$8</f>
        <v>0.32697172188328344</v>
      </c>
      <c r="I72">
        <v>8</v>
      </c>
      <c r="J72" t="str">
        <f>IF(I72="0","AB",IF(I72&gt;=67,"A",IF(I72&gt;=58,"B",IF(I72&gt;=43,"C",IF(I72&gt;=20,"S","W")))))</f>
        <v>W</v>
      </c>
      <c r="K72" s="5">
        <f>(I72-$R$7)/$R$8</f>
        <v>-0.44683192912489511</v>
      </c>
      <c r="L72" s="5" t="s">
        <v>132</v>
      </c>
      <c r="M72" t="s">
        <v>132</v>
      </c>
    </row>
    <row r="73" spans="1:13" x14ac:dyDescent="0.25">
      <c r="A73" t="s">
        <v>92</v>
      </c>
      <c r="B73" s="1">
        <v>2007415</v>
      </c>
      <c r="C73">
        <v>13.05</v>
      </c>
      <c r="D73" t="str">
        <f>IF(C73="0","AB",IF(C73&gt;=67,"A",IF(C73&gt;=58,"B",IF(C73&gt;=43,"C",IF(C73&gt;=20,"S","W")))))</f>
        <v>W</v>
      </c>
      <c r="E73" s="5">
        <f>(C73-$P$7)/$P$8</f>
        <v>-0.46177808087289207</v>
      </c>
      <c r="F73">
        <v>15</v>
      </c>
      <c r="G73" t="str">
        <f>IF(F73="0","AB",IF(F73&gt;=67,"A",IF(F73&gt;=58,"B",IF(F73&gt;=43,"C",IF(F73&gt;=20,"S","W")))))</f>
        <v>W</v>
      </c>
      <c r="H73" s="5">
        <f>(F73-$Q$7)/$Q$8</f>
        <v>-0.32231732014829023</v>
      </c>
      <c r="I73">
        <v>16</v>
      </c>
      <c r="J73" t="str">
        <f>IF(I73="0","AB",IF(I73&gt;=67,"A",IF(I73&gt;=58,"B",IF(I73&gt;=43,"C",IF(I73&gt;=20,"S","W")))))</f>
        <v>W</v>
      </c>
      <c r="K73" s="5">
        <f>(I73-$R$7)/$R$8</f>
        <v>0.16371527981711026</v>
      </c>
      <c r="L73" s="5" t="s">
        <v>132</v>
      </c>
      <c r="M73" t="s">
        <v>132</v>
      </c>
    </row>
    <row r="74" spans="1:13" x14ac:dyDescent="0.25">
      <c r="A74" t="s">
        <v>77</v>
      </c>
      <c r="B74" s="1">
        <v>2007374</v>
      </c>
      <c r="C74">
        <v>10.76</v>
      </c>
      <c r="D74" t="str">
        <f>IF(C74="0","AB",IF(C74&gt;=67,"A",IF(C74&gt;=58,"B",IF(C74&gt;=43,"C",IF(C74&gt;=20,"S","W")))))</f>
        <v>W</v>
      </c>
      <c r="E74" s="5">
        <f>(C74-$P$7)/$P$8</f>
        <v>-0.60888643646958285</v>
      </c>
      <c r="F74">
        <v>33</v>
      </c>
      <c r="G74" t="str">
        <f>IF(F74="0","AB",IF(F74&gt;=67,"A",IF(F74&gt;=58,"B",IF(F74&gt;=43,"C",IF(F74&gt;=20,"S","W")))))</f>
        <v>S</v>
      </c>
      <c r="H74" s="5">
        <f>(F74-$Q$7)/$Q$8</f>
        <v>0.97626076391485705</v>
      </c>
      <c r="I74">
        <v>0</v>
      </c>
      <c r="J74" t="str">
        <f>IF(I74="0","AB",IF(I74&gt;=67,"A",IF(I74&gt;=58,"B",IF(I74&gt;=43,"C",IF(I74&gt;=20,"S","W")))))</f>
        <v>W</v>
      </c>
      <c r="K74" s="5">
        <f>(I74-$R$7)/$R$8</f>
        <v>-1.0573791380669004</v>
      </c>
      <c r="L74" s="5" t="s">
        <v>132</v>
      </c>
      <c r="M74" t="s">
        <v>132</v>
      </c>
    </row>
    <row r="75" spans="1:13" x14ac:dyDescent="0.25">
      <c r="A75" t="s">
        <v>83</v>
      </c>
      <c r="B75" s="1">
        <v>2007383</v>
      </c>
      <c r="C75">
        <v>18.149999999999999</v>
      </c>
      <c r="D75" t="str">
        <f>IF(C75="0","AB",IF(C75&gt;=67,"A",IF(C75&gt;=58,"B",IF(C75&gt;=43,"C",IF(C75&gt;=20,"S","W")))))</f>
        <v>W</v>
      </c>
      <c r="E75" s="5">
        <f>(C75-$P$7)/$P$8</f>
        <v>-0.13415685225144139</v>
      </c>
      <c r="F75">
        <v>26</v>
      </c>
      <c r="G75" t="str">
        <f>IF(F75="0","AB",IF(F75&gt;=67,"A",IF(F75&gt;=58,"B",IF(F75&gt;=43,"C",IF(F75&gt;=20,"S","W")))))</f>
        <v>S</v>
      </c>
      <c r="H75" s="5">
        <f>(F75-$Q$7)/$Q$8</f>
        <v>0.47125817566807759</v>
      </c>
      <c r="I75">
        <v>0</v>
      </c>
      <c r="J75" t="str">
        <f>IF(I75="0","AB",IF(I75&gt;=67,"A",IF(I75&gt;=58,"B",IF(I75&gt;=43,"C",IF(I75&gt;=20,"S","W")))))</f>
        <v>W</v>
      </c>
      <c r="K75" s="5">
        <f>(I75-$R$7)/$R$8</f>
        <v>-1.0573791380669004</v>
      </c>
      <c r="L75" s="5" t="s">
        <v>132</v>
      </c>
      <c r="M75" t="s">
        <v>132</v>
      </c>
    </row>
    <row r="76" spans="1:13" x14ac:dyDescent="0.25">
      <c r="A76" t="s">
        <v>19</v>
      </c>
      <c r="B76" s="1">
        <v>2007158</v>
      </c>
      <c r="C76">
        <v>23.75</v>
      </c>
      <c r="D76" t="str">
        <f>IF(C76="0","AB",IF(C76&gt;=67,"A",IF(C76&gt;=58,"B",IF(C76&gt;=43,"C",IF(C76&gt;=20,"S","W")))))</f>
        <v>S</v>
      </c>
      <c r="E76" s="5">
        <f>(C76-$P$7)/$P$8</f>
        <v>0.22558410466623019</v>
      </c>
      <c r="F76">
        <v>20</v>
      </c>
      <c r="G76" t="str">
        <f>IF(F76="0","AB",IF(F76&gt;=67,"A",IF(F76&gt;=58,"B",IF(F76&gt;=43,"C",IF(F76&gt;=20,"S","W")))))</f>
        <v>S</v>
      </c>
      <c r="H76" s="5">
        <f>(F76-$Q$7)/$Q$8</f>
        <v>3.839881431369515E-2</v>
      </c>
      <c r="I76">
        <v>0</v>
      </c>
      <c r="J76" t="str">
        <f>IF(I76="0","AB",IF(I76&gt;=67,"A",IF(I76&gt;=58,"B",IF(I76&gt;=43,"C",IF(I76&gt;=20,"S","W")))))</f>
        <v>W</v>
      </c>
      <c r="K76" s="5">
        <f>(I76-$R$7)/$R$8</f>
        <v>-1.0573791380669004</v>
      </c>
      <c r="L76" s="5" t="s">
        <v>132</v>
      </c>
      <c r="M76" t="s">
        <v>132</v>
      </c>
    </row>
    <row r="77" spans="1:13" x14ac:dyDescent="0.25">
      <c r="A77" t="s">
        <v>75</v>
      </c>
      <c r="B77" s="1">
        <v>2007371</v>
      </c>
      <c r="C77">
        <v>17</v>
      </c>
      <c r="D77" t="str">
        <f>IF(C77="0","AB",IF(C77&gt;=67,"A",IF(C77&gt;=58,"B",IF(C77&gt;=43,"C",IF(C77&gt;=20,"S","W")))))</f>
        <v>W</v>
      </c>
      <c r="E77" s="5">
        <f>(C77-$P$7)/$P$8</f>
        <v>-0.20803222733274884</v>
      </c>
      <c r="F77">
        <v>26</v>
      </c>
      <c r="G77" t="str">
        <f>IF(F77="0","AB",IF(F77&gt;=67,"A",IF(F77&gt;=58,"B",IF(F77&gt;=43,"C",IF(F77&gt;=20,"S","W")))))</f>
        <v>S</v>
      </c>
      <c r="H77" s="5">
        <f>(F77-$Q$7)/$Q$8</f>
        <v>0.47125817566807759</v>
      </c>
      <c r="I77">
        <v>0</v>
      </c>
      <c r="J77" t="str">
        <f>IF(I77="0","AB",IF(I77&gt;=67,"A",IF(I77&gt;=58,"B",IF(I77&gt;=43,"C",IF(I77&gt;=20,"S","W")))))</f>
        <v>W</v>
      </c>
      <c r="K77" s="5">
        <f>(I77-$R$7)/$R$8</f>
        <v>-1.0573791380669004</v>
      </c>
      <c r="L77" s="5" t="s">
        <v>132</v>
      </c>
      <c r="M77" t="s">
        <v>132</v>
      </c>
    </row>
    <row r="78" spans="1:13" x14ac:dyDescent="0.25">
      <c r="A78" t="s">
        <v>57</v>
      </c>
      <c r="B78" s="1">
        <v>2007269</v>
      </c>
      <c r="C78">
        <v>14.65</v>
      </c>
      <c r="D78" t="str">
        <f>IF(C78="0","AB",IF(C78&gt;=67,"A",IF(C78&gt;=58,"B",IF(C78&gt;=43,"C",IF(C78&gt;=20,"S","W")))))</f>
        <v>W</v>
      </c>
      <c r="E78" s="5">
        <f>(C78-$P$7)/$P$8</f>
        <v>-0.35899495032498596</v>
      </c>
      <c r="F78">
        <v>10</v>
      </c>
      <c r="G78" t="str">
        <f>IF(F78="0","AB",IF(F78&gt;=67,"A",IF(F78&gt;=58,"B",IF(F78&gt;=43,"C",IF(F78&gt;=20,"S","W")))))</f>
        <v>W</v>
      </c>
      <c r="H78" s="5">
        <f>(F78-$Q$7)/$Q$8</f>
        <v>-0.68303345461027554</v>
      </c>
      <c r="I78">
        <v>16</v>
      </c>
      <c r="J78" t="str">
        <f>IF(I78="0","AB",IF(I78&gt;=67,"A",IF(I78&gt;=58,"B",IF(I78&gt;=43,"C",IF(I78&gt;=20,"S","W")))))</f>
        <v>W</v>
      </c>
      <c r="K78" s="5">
        <f>(I78-$R$7)/$R$8</f>
        <v>0.16371527981711026</v>
      </c>
      <c r="L78" s="5" t="s">
        <v>132</v>
      </c>
      <c r="M78" t="s">
        <v>132</v>
      </c>
    </row>
    <row r="79" spans="1:13" x14ac:dyDescent="0.25">
      <c r="A79" t="s">
        <v>21</v>
      </c>
      <c r="B79" s="1">
        <v>2007161</v>
      </c>
      <c r="C79">
        <v>44.75</v>
      </c>
      <c r="D79" t="str">
        <f>IF(C79="0","AB",IF(C79&gt;=67,"A",IF(C79&gt;=58,"B",IF(C79&gt;=43,"C",IF(C79&gt;=20,"S","W")))))</f>
        <v>C</v>
      </c>
      <c r="E79" s="5">
        <f>(C79-$P$7)/$P$8</f>
        <v>1.5746126931074984</v>
      </c>
      <c r="F79">
        <v>0</v>
      </c>
      <c r="G79" t="str">
        <f>IF(F79="0","AB",IF(F79&gt;=67,"A",IF(F79&gt;=58,"B",IF(F79&gt;=43,"C",IF(F79&gt;=20,"S","W")))))</f>
        <v>W</v>
      </c>
      <c r="H79" s="5">
        <f>(F79-$Q$7)/$Q$8</f>
        <v>-1.4044657235342464</v>
      </c>
      <c r="I79">
        <v>0</v>
      </c>
      <c r="J79" t="str">
        <f>IF(I79="0","AB",IF(I79&gt;=67,"A",IF(I79&gt;=58,"B",IF(I79&gt;=43,"C",IF(I79&gt;=20,"S","W")))))</f>
        <v>W</v>
      </c>
      <c r="K79" s="5">
        <f>(I79-$R$7)/$R$8</f>
        <v>-1.0573791380669004</v>
      </c>
      <c r="L79" s="5" t="s">
        <v>132</v>
      </c>
      <c r="M79" t="s">
        <v>132</v>
      </c>
    </row>
    <row r="80" spans="1:13" x14ac:dyDescent="0.25">
      <c r="A80" t="s">
        <v>44</v>
      </c>
      <c r="B80" s="1">
        <v>2007340</v>
      </c>
      <c r="C80">
        <v>6.5</v>
      </c>
      <c r="D80" t="str">
        <f>IF(C80="0","AB",IF(C80&gt;=67,"A",IF(C80&gt;=58,"B",IF(C80&gt;=43,"C",IF(C80&gt;=20,"S","W")))))</f>
        <v>W</v>
      </c>
      <c r="E80" s="5">
        <f>(C80-$P$7)/$P$8</f>
        <v>-0.88254652155338287</v>
      </c>
      <c r="F80">
        <v>15</v>
      </c>
      <c r="G80" t="str">
        <f>IF(F80="0","AB",IF(F80&gt;=67,"A",IF(F80&gt;=58,"B",IF(F80&gt;=43,"C",IF(F80&gt;=20,"S","W")))))</f>
        <v>W</v>
      </c>
      <c r="H80" s="5">
        <f>(F80-$Q$7)/$Q$8</f>
        <v>-0.32231732014829023</v>
      </c>
      <c r="I80">
        <v>17</v>
      </c>
      <c r="J80" t="str">
        <f>IF(I80="0","AB",IF(I80&gt;=67,"A",IF(I80&gt;=58,"B",IF(I80&gt;=43,"C",IF(I80&gt;=20,"S","W")))))</f>
        <v>W</v>
      </c>
      <c r="K80" s="5">
        <f>(I80-$R$7)/$R$8</f>
        <v>0.24003368093486094</v>
      </c>
      <c r="L80" s="5" t="s">
        <v>132</v>
      </c>
      <c r="M80" t="s">
        <v>132</v>
      </c>
    </row>
    <row r="81" spans="1:13" x14ac:dyDescent="0.25">
      <c r="A81" t="s">
        <v>113</v>
      </c>
      <c r="B81" s="1">
        <v>2007247</v>
      </c>
      <c r="C81">
        <v>17.5</v>
      </c>
      <c r="D81" t="str">
        <f>IF(C81="0","AB",IF(C81&gt;=67,"A",IF(C81&gt;=58,"B",IF(C81&gt;=43,"C",IF(C81&gt;=20,"S","W")))))</f>
        <v>W</v>
      </c>
      <c r="E81" s="5">
        <f>(C81-$P$7)/$P$8</f>
        <v>-0.17591249903652817</v>
      </c>
      <c r="F81">
        <v>4</v>
      </c>
      <c r="G81" t="str">
        <f>IF(F81="0","AB",IF(F81&gt;=67,"A",IF(F81&gt;=58,"B",IF(F81&gt;=43,"C",IF(F81&gt;=20,"S","W")))))</f>
        <v>W</v>
      </c>
      <c r="H81" s="5">
        <f>(F81-$Q$7)/$Q$8</f>
        <v>-1.1158928159646579</v>
      </c>
      <c r="I81">
        <v>18</v>
      </c>
      <c r="J81" t="str">
        <f>IF(I81="0","AB",IF(I81&gt;=67,"A",IF(I81&gt;=58,"B",IF(I81&gt;=43,"C",IF(I81&gt;=20,"S","W")))))</f>
        <v>W</v>
      </c>
      <c r="K81" s="5">
        <f>(I81-$R$7)/$R$8</f>
        <v>0.31635208205261162</v>
      </c>
      <c r="L81" s="5" t="s">
        <v>132</v>
      </c>
      <c r="M81" t="s">
        <v>132</v>
      </c>
    </row>
    <row r="82" spans="1:13" x14ac:dyDescent="0.25">
      <c r="A82" t="s">
        <v>73</v>
      </c>
      <c r="B82" s="1">
        <v>2007356</v>
      </c>
      <c r="C82">
        <v>6.8</v>
      </c>
      <c r="D82" t="str">
        <f>IF(C82="0","AB",IF(C82&gt;=67,"A",IF(C82&gt;=58,"B",IF(C82&gt;=43,"C",IF(C82&gt;=20,"S","W")))))</f>
        <v>W</v>
      </c>
      <c r="E82" s="5">
        <f>(C82-$P$7)/$P$8</f>
        <v>-0.86327468457565049</v>
      </c>
      <c r="F82">
        <v>15</v>
      </c>
      <c r="G82" t="str">
        <f>IF(F82="0","AB",IF(F82&gt;=67,"A",IF(F82&gt;=58,"B",IF(F82&gt;=43,"C",IF(F82&gt;=20,"S","W")))))</f>
        <v>W</v>
      </c>
      <c r="H82" s="5">
        <f>(F82-$Q$7)/$Q$8</f>
        <v>-0.32231732014829023</v>
      </c>
      <c r="I82">
        <v>16</v>
      </c>
      <c r="J82" t="str">
        <f>IF(I82="0","AB",IF(I82&gt;=67,"A",IF(I82&gt;=58,"B",IF(I82&gt;=43,"C",IF(I82&gt;=20,"S","W")))))</f>
        <v>W</v>
      </c>
      <c r="K82" s="5">
        <f>(I82-$R$7)/$R$8</f>
        <v>0.16371527981711026</v>
      </c>
      <c r="L82" s="5" t="s">
        <v>132</v>
      </c>
      <c r="M82" t="s">
        <v>132</v>
      </c>
    </row>
    <row r="83" spans="1:13" x14ac:dyDescent="0.25">
      <c r="A83" t="s">
        <v>68</v>
      </c>
      <c r="B83" s="1">
        <v>2007370</v>
      </c>
      <c r="C83">
        <v>13.25</v>
      </c>
      <c r="D83" t="str">
        <f>IF(C83="0","AB",IF(C83&gt;=67,"A",IF(C83&gt;=58,"B",IF(C83&gt;=43,"C",IF(C83&gt;=20,"S","W")))))</f>
        <v>W</v>
      </c>
      <c r="E83" s="5">
        <f>(C83-$P$7)/$P$8</f>
        <v>-0.44893018955440389</v>
      </c>
      <c r="F83">
        <v>24</v>
      </c>
      <c r="G83" t="str">
        <f>IF(F83="0","AB",IF(F83&gt;=67,"A",IF(F83&gt;=58,"B",IF(F83&gt;=43,"C",IF(F83&gt;=20,"S","W")))))</f>
        <v>S</v>
      </c>
      <c r="H83" s="5">
        <f>(F83-$Q$7)/$Q$8</f>
        <v>0.32697172188328344</v>
      </c>
      <c r="I83">
        <v>0</v>
      </c>
      <c r="J83" t="str">
        <f>IF(I83="0","AB",IF(I83&gt;=67,"A",IF(I83&gt;=58,"B",IF(I83&gt;=43,"C",IF(I83&gt;=20,"S","W")))))</f>
        <v>W</v>
      </c>
      <c r="K83" s="5">
        <f>(I83-$R$7)/$R$8</f>
        <v>-1.0573791380669004</v>
      </c>
      <c r="L83" s="5" t="s">
        <v>132</v>
      </c>
      <c r="M83" t="s">
        <v>132</v>
      </c>
    </row>
    <row r="84" spans="1:13" x14ac:dyDescent="0.25">
      <c r="A84" t="s">
        <v>121</v>
      </c>
      <c r="B84" s="1">
        <v>2007160</v>
      </c>
      <c r="C84">
        <v>7.5</v>
      </c>
      <c r="D84" t="str">
        <f>IF(C84="0","AB",IF(C84&gt;=67,"A",IF(C84&gt;=58,"B",IF(C84&gt;=43,"C",IF(C84&gt;=20,"S","W")))))</f>
        <v>W</v>
      </c>
      <c r="E84" s="5">
        <f>(C84-$P$7)/$P$8</f>
        <v>-0.81830706496094152</v>
      </c>
      <c r="F84">
        <v>0</v>
      </c>
      <c r="G84" t="str">
        <f>IF(F84="0","AB",IF(F84&gt;=67,"A",IF(F84&gt;=58,"B",IF(F84&gt;=43,"C",IF(F84&gt;=20,"S","W")))))</f>
        <v>W</v>
      </c>
      <c r="H84" s="5">
        <f>(F84-$Q$7)/$Q$8</f>
        <v>-1.4044657235342464</v>
      </c>
      <c r="I84">
        <v>27</v>
      </c>
      <c r="J84" t="str">
        <f>IF(I84="0","AB",IF(I84&gt;=67,"A",IF(I84&gt;=58,"B",IF(I84&gt;=43,"C",IF(I84&gt;=20,"S","W")))))</f>
        <v>S</v>
      </c>
      <c r="K84" s="5">
        <f>(I84-$R$7)/$R$8</f>
        <v>1.0032176921123677</v>
      </c>
      <c r="L84" s="5" t="s">
        <v>132</v>
      </c>
      <c r="M84" t="s">
        <v>132</v>
      </c>
    </row>
    <row r="85" spans="1:13" x14ac:dyDescent="0.25">
      <c r="A85" t="s">
        <v>0</v>
      </c>
      <c r="B85" s="1">
        <v>2007104</v>
      </c>
      <c r="C85">
        <v>39.5</v>
      </c>
      <c r="D85" t="str">
        <f>IF(C85="0","AB",IF(C85&gt;=67,"A",IF(C85&gt;=58,"B",IF(C85&gt;=43,"C",IF(C85&gt;=20,"S","W")))))</f>
        <v>S</v>
      </c>
      <c r="E85" s="5">
        <f>(C85-$P$7)/$P$8</f>
        <v>1.2373555459971812</v>
      </c>
      <c r="F85">
        <v>0</v>
      </c>
      <c r="G85" t="str">
        <f>IF(F85="0","AB",IF(F85&gt;=67,"A",IF(F85&gt;=58,"B",IF(F85&gt;=43,"C",IF(F85&gt;=20,"S","W")))))</f>
        <v>W</v>
      </c>
      <c r="H85" s="5">
        <f>(F85-$Q$7)/$Q$8</f>
        <v>-1.4044657235342464</v>
      </c>
      <c r="I85">
        <v>0</v>
      </c>
      <c r="J85" t="str">
        <f>IF(I85="0","AB",IF(I85&gt;=67,"A",IF(I85&gt;=58,"B",IF(I85&gt;=43,"C",IF(I85&gt;=20,"S","W")))))</f>
        <v>W</v>
      </c>
      <c r="K85" s="5">
        <f>(I85-$R$7)/$R$8</f>
        <v>-1.0573791380669004</v>
      </c>
      <c r="L85" s="5" t="s">
        <v>132</v>
      </c>
      <c r="M85" t="s">
        <v>132</v>
      </c>
    </row>
    <row r="86" spans="1:13" x14ac:dyDescent="0.25">
      <c r="A86" t="s">
        <v>61</v>
      </c>
      <c r="B86" s="1">
        <v>2007273</v>
      </c>
      <c r="C86">
        <v>0</v>
      </c>
      <c r="D86" t="str">
        <f>IF(C86="0","AB",IF(C86&gt;=67,"A",IF(C86&gt;=58,"B",IF(C86&gt;=43,"C",IF(C86&gt;=20,"S","W")))))</f>
        <v>W</v>
      </c>
      <c r="E86" s="5">
        <f>(C86-$P$7)/$P$8</f>
        <v>-1.3001029894042515</v>
      </c>
      <c r="F86">
        <v>14</v>
      </c>
      <c r="G86" t="str">
        <f>IF(F86="0","AB",IF(F86&gt;=67,"A",IF(F86&gt;=58,"B",IF(F86&gt;=43,"C",IF(F86&gt;=20,"S","W")))))</f>
        <v>W</v>
      </c>
      <c r="H86" s="5">
        <f>(F86-$Q$7)/$Q$8</f>
        <v>-0.39446054704068728</v>
      </c>
      <c r="I86">
        <v>18</v>
      </c>
      <c r="J86" t="str">
        <f>IF(I86="0","AB",IF(I86&gt;=67,"A",IF(I86&gt;=58,"B",IF(I86&gt;=43,"C",IF(I86&gt;=20,"S","W")))))</f>
        <v>W</v>
      </c>
      <c r="K86" s="5">
        <f>(I86-$R$7)/$R$8</f>
        <v>0.31635208205261162</v>
      </c>
      <c r="L86" s="5" t="s">
        <v>132</v>
      </c>
      <c r="M86" t="s">
        <v>132</v>
      </c>
    </row>
    <row r="87" spans="1:13" x14ac:dyDescent="0.25">
      <c r="A87" t="s">
        <v>43</v>
      </c>
      <c r="B87" s="1">
        <v>2007243</v>
      </c>
      <c r="C87">
        <v>22.4</v>
      </c>
      <c r="D87" t="str">
        <f>IF(C87="0","AB",IF(C87&gt;=67,"A",IF(C87&gt;=58,"B",IF(C87&gt;=43,"C",IF(C87&gt;=20,"S","W")))))</f>
        <v>S</v>
      </c>
      <c r="E87" s="5">
        <f>(C87-$P$7)/$P$8</f>
        <v>0.13886083826643431</v>
      </c>
      <c r="F87">
        <v>13</v>
      </c>
      <c r="G87" t="str">
        <f>IF(F87="0","AB",IF(F87&gt;=67,"A",IF(F87&gt;=58,"B",IF(F87&gt;=43,"C",IF(F87&gt;=20,"S","W")))))</f>
        <v>W</v>
      </c>
      <c r="H87" s="5">
        <f>(F87-$Q$7)/$Q$8</f>
        <v>-0.46660377393308433</v>
      </c>
      <c r="I87">
        <v>0</v>
      </c>
      <c r="J87" t="str">
        <f>IF(I87="0","AB",IF(I87&gt;=67,"A",IF(I87&gt;=58,"B",IF(I87&gt;=43,"C",IF(I87&gt;=20,"S","W")))))</f>
        <v>W</v>
      </c>
      <c r="K87" s="5">
        <f>(I87-$R$7)/$R$8</f>
        <v>-1.0573791380669004</v>
      </c>
      <c r="L87" s="5" t="s">
        <v>132</v>
      </c>
      <c r="M87" t="s">
        <v>132</v>
      </c>
    </row>
    <row r="88" spans="1:13" x14ac:dyDescent="0.25">
      <c r="A88" t="s">
        <v>26</v>
      </c>
      <c r="B88" s="1">
        <v>2007175</v>
      </c>
      <c r="C88">
        <v>11.5</v>
      </c>
      <c r="D88" t="str">
        <f>IF(C88="0","AB",IF(C88&gt;=67,"A",IF(C88&gt;=58,"B",IF(C88&gt;=43,"C",IF(C88&gt;=20,"S","W")))))</f>
        <v>W</v>
      </c>
      <c r="E88" s="5">
        <f>(C88-$P$7)/$P$8</f>
        <v>-0.56134923859117625</v>
      </c>
      <c r="F88">
        <v>22</v>
      </c>
      <c r="G88" t="str">
        <f>IF(F88="0","AB",IF(F88&gt;=67,"A",IF(F88&gt;=58,"B",IF(F88&gt;=43,"C",IF(F88&gt;=20,"S","W")))))</f>
        <v>S</v>
      </c>
      <c r="H88" s="5">
        <f>(F88-$Q$7)/$Q$8</f>
        <v>0.18268526809848928</v>
      </c>
      <c r="I88">
        <v>0</v>
      </c>
      <c r="J88" t="str">
        <f>IF(I88="0","AB",IF(I88&gt;=67,"A",IF(I88&gt;=58,"B",IF(I88&gt;=43,"C",IF(I88&gt;=20,"S","W")))))</f>
        <v>W</v>
      </c>
      <c r="K88" s="5">
        <f>(I88-$R$7)/$R$8</f>
        <v>-1.0573791380669004</v>
      </c>
      <c r="L88" s="5" t="s">
        <v>132</v>
      </c>
      <c r="M88" t="s">
        <v>132</v>
      </c>
    </row>
    <row r="89" spans="1:13" x14ac:dyDescent="0.25">
      <c r="A89" t="s">
        <v>124</v>
      </c>
      <c r="B89" s="1">
        <v>2007193</v>
      </c>
      <c r="C89">
        <v>5.5</v>
      </c>
      <c r="D89" t="str">
        <f>IF(C89="0","AB",IF(C89&gt;=67,"A",IF(C89&gt;=58,"B",IF(C89&gt;=43,"C",IF(C89&gt;=20,"S","W")))))</f>
        <v>W</v>
      </c>
      <c r="E89" s="5">
        <f>(C89-$P$7)/$P$8</f>
        <v>-0.94678597814582421</v>
      </c>
      <c r="F89">
        <v>11</v>
      </c>
      <c r="G89" t="str">
        <f>IF(F89="0","AB",IF(F89&gt;=67,"A",IF(F89&gt;=58,"B",IF(F89&gt;=43,"C",IF(F89&gt;=20,"S","W")))))</f>
        <v>W</v>
      </c>
      <c r="H89" s="5">
        <f>(F89-$Q$7)/$Q$8</f>
        <v>-0.61089022771787849</v>
      </c>
      <c r="I89">
        <v>15</v>
      </c>
      <c r="J89" t="str">
        <f>IF(I89="0","AB",IF(I89&gt;=67,"A",IF(I89&gt;=58,"B",IF(I89&gt;=43,"C",IF(I89&gt;=20,"S","W")))))</f>
        <v>W</v>
      </c>
      <c r="K89" s="5">
        <f>(I89-$R$7)/$R$8</f>
        <v>8.7396878699359595E-2</v>
      </c>
      <c r="L89" s="5" t="s">
        <v>132</v>
      </c>
      <c r="M89" t="s">
        <v>132</v>
      </c>
    </row>
    <row r="90" spans="1:13" x14ac:dyDescent="0.25">
      <c r="A90" t="s">
        <v>105</v>
      </c>
      <c r="B90" s="1">
        <v>2007282</v>
      </c>
      <c r="C90">
        <v>0</v>
      </c>
      <c r="D90" t="str">
        <f>IF(C90="0","AB",IF(C90&gt;=67,"A",IF(C90&gt;=58,"B",IF(C90&gt;=43,"C",IF(C90&gt;=20,"S","W")))))</f>
        <v>W</v>
      </c>
      <c r="E90" s="5">
        <f>(C90-$P$7)/$P$8</f>
        <v>-1.3001029894042515</v>
      </c>
      <c r="F90">
        <v>13</v>
      </c>
      <c r="G90" t="str">
        <f>IF(F90="0","AB",IF(F90&gt;=67,"A",IF(F90&gt;=58,"B",IF(F90&gt;=43,"C",IF(F90&gt;=20,"S","W")))))</f>
        <v>W</v>
      </c>
      <c r="H90" s="5">
        <f>(F90-$Q$7)/$Q$8</f>
        <v>-0.46660377393308433</v>
      </c>
      <c r="I90">
        <v>16</v>
      </c>
      <c r="J90" t="str">
        <f>IF(I90="0","AB",IF(I90&gt;=67,"A",IF(I90&gt;=58,"B",IF(I90&gt;=43,"C",IF(I90&gt;=20,"S","W")))))</f>
        <v>W</v>
      </c>
      <c r="K90" s="5">
        <f>(I90-$R$7)/$R$8</f>
        <v>0.16371527981711026</v>
      </c>
      <c r="L90" s="5" t="s">
        <v>132</v>
      </c>
      <c r="M90" t="s">
        <v>132</v>
      </c>
    </row>
    <row r="91" spans="1:13" x14ac:dyDescent="0.25">
      <c r="A91" t="s">
        <v>107</v>
      </c>
      <c r="B91" s="1">
        <v>2007192</v>
      </c>
      <c r="C91">
        <v>7.25</v>
      </c>
      <c r="D91" t="str">
        <f>IF(C91="0","AB",IF(C91&gt;=67,"A",IF(C91&gt;=58,"B",IF(C91&gt;=43,"C",IF(C91&gt;=20,"S","W")))))</f>
        <v>W</v>
      </c>
      <c r="E91" s="5">
        <f>(C91-$P$7)/$P$8</f>
        <v>-0.83436692910905186</v>
      </c>
      <c r="F91">
        <v>23</v>
      </c>
      <c r="G91" t="str">
        <f>IF(F91="0","AB",IF(F91&gt;=67,"A",IF(F91&gt;=58,"B",IF(F91&gt;=43,"C",IF(F91&gt;=20,"S","W")))))</f>
        <v>S</v>
      </c>
      <c r="H91" s="5">
        <f>(F91-$Q$7)/$Q$8</f>
        <v>0.25482849499088639</v>
      </c>
      <c r="I91">
        <v>0</v>
      </c>
      <c r="J91" t="str">
        <f>IF(I91="0","AB",IF(I91&gt;=67,"A",IF(I91&gt;=58,"B",IF(I91&gt;=43,"C",IF(I91&gt;=20,"S","W")))))</f>
        <v>W</v>
      </c>
      <c r="K91" s="5">
        <f>(I91-$R$7)/$R$8</f>
        <v>-1.0573791380669004</v>
      </c>
      <c r="L91" s="5" t="s">
        <v>132</v>
      </c>
      <c r="M91" t="s">
        <v>132</v>
      </c>
    </row>
    <row r="92" spans="1:13" x14ac:dyDescent="0.25">
      <c r="A92" t="s">
        <v>10</v>
      </c>
      <c r="B92" s="1">
        <v>2007116</v>
      </c>
      <c r="C92">
        <v>1.5</v>
      </c>
      <c r="D92" t="str">
        <f>IF(C92="0","AB",IF(C92&gt;=67,"A",IF(C92&gt;=58,"B",IF(C92&gt;=43,"C",IF(C92&gt;=20,"S","W")))))</f>
        <v>W</v>
      </c>
      <c r="E92" s="5">
        <f>(C92-$P$7)/$P$8</f>
        <v>-1.2037438045155897</v>
      </c>
      <c r="F92">
        <v>17</v>
      </c>
      <c r="G92" t="str">
        <f>IF(F92="0","AB",IF(F92&gt;=67,"A",IF(F92&gt;=58,"B",IF(F92&gt;=43,"C",IF(F92&gt;=20,"S","W")))))</f>
        <v>W</v>
      </c>
      <c r="H92" s="5">
        <f>(F92-$Q$7)/$Q$8</f>
        <v>-0.17803086636349608</v>
      </c>
      <c r="I92">
        <v>10</v>
      </c>
      <c r="J92" t="str">
        <f>IF(I92="0","AB",IF(I92&gt;=67,"A",IF(I92&gt;=58,"B",IF(I92&gt;=43,"C",IF(I92&gt;=20,"S","W")))))</f>
        <v>W</v>
      </c>
      <c r="K92" s="5">
        <f>(I92-$R$7)/$R$8</f>
        <v>-0.29419512688939375</v>
      </c>
      <c r="L92" s="5" t="s">
        <v>132</v>
      </c>
      <c r="M92" t="s">
        <v>132</v>
      </c>
    </row>
    <row r="93" spans="1:13" x14ac:dyDescent="0.25">
      <c r="A93" t="s">
        <v>85</v>
      </c>
      <c r="B93" s="1">
        <v>2007388</v>
      </c>
      <c r="C93">
        <v>5.25</v>
      </c>
      <c r="D93" t="str">
        <f>IF(C93="0","AB",IF(C93&gt;=67,"A",IF(C93&gt;=58,"B",IF(C93&gt;=43,"C",IF(C93&gt;=20,"S","W")))))</f>
        <v>W</v>
      </c>
      <c r="E93" s="5">
        <f>(C93-$P$7)/$P$8</f>
        <v>-0.96284584229393455</v>
      </c>
      <c r="F93">
        <v>24</v>
      </c>
      <c r="G93" t="str">
        <f>IF(F93="0","AB",IF(F93&gt;=67,"A",IF(F93&gt;=58,"B",IF(F93&gt;=43,"C",IF(F93&gt;=20,"S","W")))))</f>
        <v>S</v>
      </c>
      <c r="H93" s="5">
        <f>(F93-$Q$7)/$Q$8</f>
        <v>0.32697172188328344</v>
      </c>
      <c r="I93">
        <v>0</v>
      </c>
      <c r="J93" t="str">
        <f>IF(I93="0","AB",IF(I93&gt;=67,"A",IF(I93&gt;=58,"B",IF(I93&gt;=43,"C",IF(I93&gt;=20,"S","W")))))</f>
        <v>W</v>
      </c>
      <c r="K93" s="5">
        <f>(I93-$R$7)/$R$8</f>
        <v>-1.0573791380669004</v>
      </c>
      <c r="L93" s="5" t="s">
        <v>132</v>
      </c>
      <c r="M93" t="s">
        <v>132</v>
      </c>
    </row>
    <row r="94" spans="1:13" x14ac:dyDescent="0.25">
      <c r="A94" t="s">
        <v>86</v>
      </c>
      <c r="B94" s="1">
        <v>2007389</v>
      </c>
      <c r="C94">
        <v>12.75</v>
      </c>
      <c r="D94" t="str">
        <f>IF(C94="0","AB",IF(C94&gt;=67,"A",IF(C94&gt;=58,"B",IF(C94&gt;=43,"C",IF(C94&gt;=20,"S","W")))))</f>
        <v>W</v>
      </c>
      <c r="E94" s="5">
        <f>(C94-$P$7)/$P$8</f>
        <v>-0.48104991785062451</v>
      </c>
      <c r="F94">
        <v>16</v>
      </c>
      <c r="G94" t="str">
        <f>IF(F94="0","AB",IF(F94&gt;=67,"A",IF(F94&gt;=58,"B",IF(F94&gt;=43,"C",IF(F94&gt;=20,"S","W")))))</f>
        <v>W</v>
      </c>
      <c r="H94" s="5">
        <f>(F94-$Q$7)/$Q$8</f>
        <v>-0.25017409325589313</v>
      </c>
      <c r="I94">
        <v>0</v>
      </c>
      <c r="J94" t="str">
        <f>IF(I94="0","AB",IF(I94&gt;=67,"A",IF(I94&gt;=58,"B",IF(I94&gt;=43,"C",IF(I94&gt;=20,"S","W")))))</f>
        <v>W</v>
      </c>
      <c r="K94" s="5">
        <f>(I94-$R$7)/$R$8</f>
        <v>-1.0573791380669004</v>
      </c>
      <c r="L94" s="5" t="s">
        <v>132</v>
      </c>
      <c r="M94" t="s">
        <v>132</v>
      </c>
    </row>
    <row r="95" spans="1:13" x14ac:dyDescent="0.25">
      <c r="A95" t="s">
        <v>32</v>
      </c>
      <c r="B95" s="1">
        <v>2007232</v>
      </c>
      <c r="C95">
        <v>0</v>
      </c>
      <c r="D95" t="str">
        <f>IF(C95="0","AB",IF(C95&gt;=67,"A",IF(C95&gt;=58,"B",IF(C95&gt;=43,"C",IF(C95&gt;=20,"S","W")))))</f>
        <v>W</v>
      </c>
      <c r="E95" s="5">
        <f>(C95-$P$7)/$P$8</f>
        <v>-1.3001029894042515</v>
      </c>
      <c r="F95">
        <v>26</v>
      </c>
      <c r="G95" t="str">
        <f>IF(F95="0","AB",IF(F95&gt;=67,"A",IF(F95&gt;=58,"B",IF(F95&gt;=43,"C",IF(F95&gt;=20,"S","W")))))</f>
        <v>S</v>
      </c>
      <c r="H95" s="5">
        <f>(F95-$Q$7)/$Q$8</f>
        <v>0.47125817566807759</v>
      </c>
      <c r="I95">
        <v>0</v>
      </c>
      <c r="J95" t="str">
        <f>IF(I95="0","AB",IF(I95&gt;=67,"A",IF(I95&gt;=58,"B",IF(I95&gt;=43,"C",IF(I95&gt;=20,"S","W")))))</f>
        <v>W</v>
      </c>
      <c r="K95" s="5">
        <f>(I95-$R$7)/$R$8</f>
        <v>-1.0573791380669004</v>
      </c>
      <c r="L95" s="5" t="s">
        <v>132</v>
      </c>
      <c r="M95" t="s">
        <v>132</v>
      </c>
    </row>
    <row r="96" spans="1:13" x14ac:dyDescent="0.25">
      <c r="A96" t="s">
        <v>63</v>
      </c>
      <c r="B96" s="1">
        <v>2007308</v>
      </c>
      <c r="C96">
        <v>9.75</v>
      </c>
      <c r="D96" t="str">
        <f>IF(C96="0","AB",IF(C96&gt;=67,"A",IF(C96&gt;=58,"B",IF(C96&gt;=43,"C",IF(C96&gt;=20,"S","W")))))</f>
        <v>W</v>
      </c>
      <c r="E96" s="5">
        <f>(C96-$P$7)/$P$8</f>
        <v>-0.6737682876279486</v>
      </c>
      <c r="F96">
        <v>14</v>
      </c>
      <c r="G96" t="str">
        <f>IF(F96="0","AB",IF(F96&gt;=67,"A",IF(F96&gt;=58,"B",IF(F96&gt;=43,"C",IF(F96&gt;=20,"S","W")))))</f>
        <v>W</v>
      </c>
      <c r="H96" s="5">
        <f>(F96-$Q$7)/$Q$8</f>
        <v>-0.39446054704068728</v>
      </c>
      <c r="I96">
        <v>3</v>
      </c>
      <c r="J96" t="str">
        <f>IF(I96="0","AB",IF(I96&gt;=67,"A",IF(I96&gt;=58,"B",IF(I96&gt;=43,"C",IF(I96&gt;=20,"S","W")))))</f>
        <v>W</v>
      </c>
      <c r="K96" s="5">
        <f>(I96-$R$7)/$R$8</f>
        <v>-0.8284239347136485</v>
      </c>
      <c r="L96" s="5" t="s">
        <v>132</v>
      </c>
      <c r="M96" t="s">
        <v>132</v>
      </c>
    </row>
    <row r="97" spans="1:13" x14ac:dyDescent="0.25">
      <c r="A97" t="s">
        <v>76</v>
      </c>
      <c r="B97" s="1">
        <v>2007373</v>
      </c>
      <c r="C97">
        <v>0</v>
      </c>
      <c r="D97" t="str">
        <f>IF(C97="0","AB",IF(C97&gt;=67,"A",IF(C97&gt;=58,"B",IF(C97&gt;=43,"C",IF(C97&gt;=20,"S","W")))))</f>
        <v>W</v>
      </c>
      <c r="E97" s="5">
        <f>(C97-$P$7)/$P$8</f>
        <v>-1.3001029894042515</v>
      </c>
      <c r="F97">
        <v>24</v>
      </c>
      <c r="G97" t="str">
        <f>IF(F97="0","AB",IF(F97&gt;=67,"A",IF(F97&gt;=58,"B",IF(F97&gt;=43,"C",IF(F97&gt;=20,"S","W")))))</f>
        <v>S</v>
      </c>
      <c r="H97" s="5">
        <f>(F97-$Q$7)/$Q$8</f>
        <v>0.32697172188328344</v>
      </c>
      <c r="I97">
        <v>0</v>
      </c>
      <c r="J97" t="str">
        <f>IF(I97="0","AB",IF(I97&gt;=67,"A",IF(I97&gt;=58,"B",IF(I97&gt;=43,"C",IF(I97&gt;=20,"S","W")))))</f>
        <v>W</v>
      </c>
      <c r="K97" s="5">
        <f>(I97-$R$7)/$R$8</f>
        <v>-1.0573791380669004</v>
      </c>
      <c r="L97" s="5" t="s">
        <v>132</v>
      </c>
      <c r="M97" t="s">
        <v>132</v>
      </c>
    </row>
    <row r="98" spans="1:13" x14ac:dyDescent="0.25">
      <c r="A98" t="s">
        <v>2</v>
      </c>
      <c r="B98" s="1">
        <v>2007108</v>
      </c>
      <c r="C98">
        <v>8.75</v>
      </c>
      <c r="D98" t="str">
        <f>IF(C98="0","AB",IF(C98&gt;=67,"A",IF(C98&gt;=58,"B",IF(C98&gt;=43,"C",IF(C98&gt;=20,"S","W")))))</f>
        <v>W</v>
      </c>
      <c r="E98" s="5">
        <f>(C98-$P$7)/$P$8</f>
        <v>-0.73800774422038984</v>
      </c>
      <c r="F98">
        <v>15</v>
      </c>
      <c r="G98" t="str">
        <f>IF(F98="0","AB",IF(F98&gt;=67,"A",IF(F98&gt;=58,"B",IF(F98&gt;=43,"C",IF(F98&gt;=20,"S","W")))))</f>
        <v>W</v>
      </c>
      <c r="H98" s="5">
        <f>(F98-$Q$7)/$Q$8</f>
        <v>-0.32231732014829023</v>
      </c>
      <c r="I98">
        <v>0</v>
      </c>
      <c r="J98" t="str">
        <f>IF(I98="0","AB",IF(I98&gt;=67,"A",IF(I98&gt;=58,"B",IF(I98&gt;=43,"C",IF(I98&gt;=20,"S","W")))))</f>
        <v>W</v>
      </c>
      <c r="K98" s="5">
        <f>(I98-$R$7)/$R$8</f>
        <v>-1.0573791380669004</v>
      </c>
      <c r="L98" s="5" t="s">
        <v>132</v>
      </c>
      <c r="M98" t="s">
        <v>132</v>
      </c>
    </row>
    <row r="99" spans="1:13" x14ac:dyDescent="0.25">
      <c r="A99" t="s">
        <v>115</v>
      </c>
      <c r="B99" s="1">
        <v>2007409</v>
      </c>
      <c r="C99">
        <v>25</v>
      </c>
      <c r="D99" t="str">
        <f>IF(C99="0","AB",IF(C99&gt;=67,"A",IF(C99&gt;=58,"B",IF(C99&gt;=43,"C",IF(C99&gt;=20,"S","W")))))</f>
        <v>S</v>
      </c>
      <c r="E99" s="5">
        <f>(C99-$P$7)/$P$8</f>
        <v>0.30588342540678187</v>
      </c>
      <c r="F99">
        <v>0</v>
      </c>
      <c r="G99" t="str">
        <f>IF(F99="0","AB",IF(F99&gt;=67,"A",IF(F99&gt;=58,"B",IF(F99&gt;=43,"C",IF(F99&gt;=20,"S","W")))))</f>
        <v>W</v>
      </c>
      <c r="H99" s="5">
        <f>(F99-$Q$7)/$Q$8</f>
        <v>-1.4044657235342464</v>
      </c>
      <c r="I99">
        <v>0</v>
      </c>
      <c r="J99" t="str">
        <f>IF(I99="0","AB",IF(I99&gt;=67,"A",IF(I99&gt;=58,"B",IF(I99&gt;=43,"C",IF(I99&gt;=20,"S","W")))))</f>
        <v>W</v>
      </c>
      <c r="K99" s="5">
        <f>(I99-$R$7)/$R$8</f>
        <v>-1.0573791380669004</v>
      </c>
      <c r="L99" s="5" t="s">
        <v>132</v>
      </c>
      <c r="M99" t="s">
        <v>132</v>
      </c>
    </row>
    <row r="100" spans="1:13" x14ac:dyDescent="0.25">
      <c r="A100" t="s">
        <v>95</v>
      </c>
      <c r="B100" s="1">
        <v>2007424</v>
      </c>
      <c r="C100">
        <v>18.149999999999999</v>
      </c>
      <c r="D100" t="str">
        <f>IF(C100="0","AB",IF(C100&gt;=67,"A",IF(C100&gt;=58,"B",IF(C100&gt;=43,"C",IF(C100&gt;=20,"S","W")))))</f>
        <v>W</v>
      </c>
      <c r="E100" s="5">
        <f>(C100-$P$7)/$P$8</f>
        <v>-0.13415685225144139</v>
      </c>
      <c r="F100">
        <v>5</v>
      </c>
      <c r="G100" t="str">
        <f>IF(F100="0","AB",IF(F100&gt;=67,"A",IF(F100&gt;=58,"B",IF(F100&gt;=43,"C",IF(F100&gt;=20,"S","W")))))</f>
        <v>W</v>
      </c>
      <c r="H100" s="5">
        <f>(F100-$Q$7)/$Q$8</f>
        <v>-1.043749589072261</v>
      </c>
      <c r="I100">
        <v>0</v>
      </c>
      <c r="J100" t="str">
        <f>IF(I100="0","AB",IF(I100&gt;=67,"A",IF(I100&gt;=58,"B",IF(I100&gt;=43,"C",IF(I100&gt;=20,"S","W")))))</f>
        <v>W</v>
      </c>
      <c r="K100" s="5">
        <f>(I100-$R$7)/$R$8</f>
        <v>-1.0573791380669004</v>
      </c>
      <c r="L100" s="5" t="s">
        <v>132</v>
      </c>
      <c r="M100" t="s">
        <v>132</v>
      </c>
    </row>
    <row r="101" spans="1:13" x14ac:dyDescent="0.25">
      <c r="A101" t="s">
        <v>1</v>
      </c>
      <c r="B101" s="1">
        <v>2007106</v>
      </c>
      <c r="C101">
        <v>20.399999999999999</v>
      </c>
      <c r="D101" t="str">
        <f>IF(C101="0","AB",IF(C101&gt;=67,"A",IF(C101&gt;=58,"B",IF(C101&gt;=43,"C",IF(C101&gt;=20,"S","W")))))</f>
        <v>S</v>
      </c>
      <c r="E101" s="5">
        <f>(C101-$P$7)/$P$8</f>
        <v>1.0381925081551618E-2</v>
      </c>
      <c r="F101">
        <v>0</v>
      </c>
      <c r="G101" t="str">
        <f>IF(F101="0","AB",IF(F101&gt;=67,"A",IF(F101&gt;=58,"B",IF(F101&gt;=43,"C",IF(F101&gt;=20,"S","W")))))</f>
        <v>W</v>
      </c>
      <c r="H101" s="5">
        <f>(F101-$Q$7)/$Q$8</f>
        <v>-1.4044657235342464</v>
      </c>
      <c r="I101">
        <v>0</v>
      </c>
      <c r="J101" t="str">
        <f>IF(I101="0","AB",IF(I101&gt;=67,"A",IF(I101&gt;=58,"B",IF(I101&gt;=43,"C",IF(I101&gt;=20,"S","W")))))</f>
        <v>W</v>
      </c>
      <c r="K101" s="5">
        <f>(I101-$R$7)/$R$8</f>
        <v>-1.0573791380669004</v>
      </c>
      <c r="L101" s="5" t="s">
        <v>132</v>
      </c>
      <c r="M101" t="s">
        <v>132</v>
      </c>
    </row>
    <row r="102" spans="1:13" x14ac:dyDescent="0.25">
      <c r="A102" t="s">
        <v>116</v>
      </c>
      <c r="B102" s="1">
        <v>2007413</v>
      </c>
      <c r="C102">
        <v>15.3</v>
      </c>
      <c r="D102" t="str">
        <f>IF(C102="0","AB",IF(C102&gt;=67,"A",IF(C102&gt;=58,"B",IF(C102&gt;=43,"C",IF(C102&gt;=20,"S","W")))))</f>
        <v>W</v>
      </c>
      <c r="E102" s="5">
        <f>(C102-$P$7)/$P$8</f>
        <v>-0.3172393035398991</v>
      </c>
      <c r="F102">
        <v>0</v>
      </c>
      <c r="G102" t="str">
        <f>IF(F102="0","AB",IF(F102&gt;=67,"A",IF(F102&gt;=58,"B",IF(F102&gt;=43,"C",IF(F102&gt;=20,"S","W")))))</f>
        <v>W</v>
      </c>
      <c r="H102" s="5">
        <f>(F102-$Q$7)/$Q$8</f>
        <v>-1.4044657235342464</v>
      </c>
      <c r="I102">
        <v>0</v>
      </c>
      <c r="J102" t="str">
        <f>IF(I102="0","AB",IF(I102&gt;=67,"A",IF(I102&gt;=58,"B",IF(I102&gt;=43,"C",IF(I102&gt;=20,"S","W")))))</f>
        <v>W</v>
      </c>
      <c r="K102" s="5">
        <f>(I102-$R$7)/$R$8</f>
        <v>-1.0573791380669004</v>
      </c>
      <c r="L102" s="5" t="s">
        <v>132</v>
      </c>
      <c r="M102" t="s">
        <v>132</v>
      </c>
    </row>
    <row r="103" spans="1:13" x14ac:dyDescent="0.25">
      <c r="A103" t="s">
        <v>4</v>
      </c>
      <c r="B103" s="1">
        <v>2007110</v>
      </c>
      <c r="C103">
        <v>14</v>
      </c>
      <c r="D103" t="str">
        <f>IF(C103="0","AB",IF(C103&gt;=67,"A",IF(C103&gt;=58,"B",IF(C103&gt;=43,"C",IF(C103&gt;=20,"S","W")))))</f>
        <v>W</v>
      </c>
      <c r="E103" s="5">
        <f>(C103-$P$7)/$P$8</f>
        <v>-0.40075059711007288</v>
      </c>
      <c r="F103">
        <v>0</v>
      </c>
      <c r="G103" t="str">
        <f>IF(F103="0","AB",IF(F103&gt;=67,"A",IF(F103&gt;=58,"B",IF(F103&gt;=43,"C",IF(F103&gt;=20,"S","W")))))</f>
        <v>W</v>
      </c>
      <c r="H103" s="5">
        <f>(F103-$Q$7)/$Q$8</f>
        <v>-1.4044657235342464</v>
      </c>
      <c r="I103">
        <v>0</v>
      </c>
      <c r="J103" t="str">
        <f>IF(I103="0","AB",IF(I103&gt;=67,"A",IF(I103&gt;=58,"B",IF(I103&gt;=43,"C",IF(I103&gt;=20,"S","W")))))</f>
        <v>W</v>
      </c>
      <c r="K103" s="5">
        <f>(I103-$R$7)/$R$8</f>
        <v>-1.0573791380669004</v>
      </c>
      <c r="L103" s="5" t="s">
        <v>132</v>
      </c>
      <c r="M103" t="s">
        <v>132</v>
      </c>
    </row>
    <row r="104" spans="1:13" x14ac:dyDescent="0.25">
      <c r="A104" t="s">
        <v>122</v>
      </c>
      <c r="B104" s="1">
        <v>2007368</v>
      </c>
      <c r="C104">
        <v>10.5</v>
      </c>
      <c r="D104" t="str">
        <f>IF(C104="0","AB",IF(C104&gt;=67,"A",IF(C104&gt;=58,"B",IF(C104&gt;=43,"C",IF(C104&gt;=20,"S","W")))))</f>
        <v>W</v>
      </c>
      <c r="E104" s="5">
        <f>(C104-$P$7)/$P$8</f>
        <v>-0.62558869518361759</v>
      </c>
      <c r="F104">
        <v>0</v>
      </c>
      <c r="G104" t="str">
        <f>IF(F104="0","AB",IF(F104&gt;=67,"A",IF(F104&gt;=58,"B",IF(F104&gt;=43,"C",IF(F104&gt;=20,"S","W")))))</f>
        <v>W</v>
      </c>
      <c r="H104" s="5">
        <f>(F104-$Q$7)/$Q$8</f>
        <v>-1.4044657235342464</v>
      </c>
      <c r="I104">
        <v>0</v>
      </c>
      <c r="J104" t="str">
        <f>IF(I104="0","AB",IF(I104&gt;=67,"A",IF(I104&gt;=58,"B",IF(I104&gt;=43,"C",IF(I104&gt;=20,"S","W")))))</f>
        <v>W</v>
      </c>
      <c r="K104" s="5">
        <f>(I104-$R$7)/$R$8</f>
        <v>-1.0573791380669004</v>
      </c>
      <c r="L104" s="5" t="s">
        <v>132</v>
      </c>
      <c r="M104" t="s">
        <v>132</v>
      </c>
    </row>
    <row r="105" spans="1:13" x14ac:dyDescent="0.25">
      <c r="A105" t="s">
        <v>11</v>
      </c>
      <c r="B105" s="1">
        <v>2007117</v>
      </c>
      <c r="C105">
        <v>8</v>
      </c>
      <c r="D105" t="str">
        <f>IF(C105="0","AB",IF(C105&gt;=67,"A",IF(C105&gt;=58,"B",IF(C105&gt;=43,"C",IF(C105&gt;=20,"S","W")))))</f>
        <v>W</v>
      </c>
      <c r="E105" s="5">
        <f>(C105-$P$7)/$P$8</f>
        <v>-0.78618733666472085</v>
      </c>
      <c r="F105">
        <v>0</v>
      </c>
      <c r="G105" t="str">
        <f>IF(F105="0","AB",IF(F105&gt;=67,"A",IF(F105&gt;=58,"B",IF(F105&gt;=43,"C",IF(F105&gt;=20,"S","W")))))</f>
        <v>W</v>
      </c>
      <c r="H105" s="5">
        <f>(F105-$Q$7)/$Q$8</f>
        <v>-1.4044657235342464</v>
      </c>
      <c r="I105">
        <v>0</v>
      </c>
      <c r="J105" t="str">
        <f>IF(I105="0","AB",IF(I105&gt;=67,"A",IF(I105&gt;=58,"B",IF(I105&gt;=43,"C",IF(I105&gt;=20,"S","W")))))</f>
        <v>W</v>
      </c>
      <c r="K105" s="5">
        <f>(I105-$R$7)/$R$8</f>
        <v>-1.0573791380669004</v>
      </c>
      <c r="L105" s="5" t="s">
        <v>132</v>
      </c>
      <c r="M105" t="s">
        <v>132</v>
      </c>
    </row>
    <row r="106" spans="1:13" x14ac:dyDescent="0.25">
      <c r="A106" t="s">
        <v>67</v>
      </c>
      <c r="B106" s="1">
        <v>2007313</v>
      </c>
      <c r="C106">
        <v>1.75</v>
      </c>
      <c r="D106" t="str">
        <f>IF(C106="0","AB",IF(C106&gt;=67,"A",IF(C106&gt;=58,"B",IF(C106&gt;=43,"C",IF(C106&gt;=20,"S","W")))))</f>
        <v>W</v>
      </c>
      <c r="E106" s="5">
        <f>(C106-$P$7)/$P$8</f>
        <v>-1.1876839403674793</v>
      </c>
      <c r="F106">
        <v>5</v>
      </c>
      <c r="G106" t="str">
        <f>IF(F106="0","AB",IF(F106&gt;=67,"A",IF(F106&gt;=58,"B",IF(F106&gt;=43,"C",IF(F106&gt;=20,"S","W")))))</f>
        <v>W</v>
      </c>
      <c r="H106" s="5">
        <f>(F106-$Q$7)/$Q$8</f>
        <v>-1.043749589072261</v>
      </c>
      <c r="I106">
        <v>0</v>
      </c>
      <c r="J106" t="str">
        <f>IF(I106="0","AB",IF(I106&gt;=67,"A",IF(I106&gt;=58,"B",IF(I106&gt;=43,"C",IF(I106&gt;=20,"S","W")))))</f>
        <v>W</v>
      </c>
      <c r="K106" s="5">
        <f>(I106-$R$7)/$R$8</f>
        <v>-1.0573791380669004</v>
      </c>
      <c r="L106" s="5" t="s">
        <v>132</v>
      </c>
      <c r="M106" t="s">
        <v>132</v>
      </c>
    </row>
    <row r="107" spans="1:13" x14ac:dyDescent="0.25">
      <c r="A107" t="s">
        <v>80</v>
      </c>
      <c r="B107" s="1">
        <v>2007380</v>
      </c>
      <c r="C107">
        <v>7.25</v>
      </c>
      <c r="D107" t="str">
        <f>IF(C107="0","AB",IF(C107&gt;=67,"A",IF(C107&gt;=58,"B",IF(C107&gt;=43,"C",IF(C107&gt;=20,"S","W")))))</f>
        <v>W</v>
      </c>
      <c r="E107" s="5">
        <f>(C107-$P$7)/$P$8</f>
        <v>-0.83436692910905186</v>
      </c>
      <c r="F107">
        <v>0</v>
      </c>
      <c r="G107" t="str">
        <f>IF(F107="0","AB",IF(F107&gt;=67,"A",IF(F107&gt;=58,"B",IF(F107&gt;=43,"C",IF(F107&gt;=20,"S","W")))))</f>
        <v>W</v>
      </c>
      <c r="H107" s="5">
        <f>(F107-$Q$7)/$Q$8</f>
        <v>-1.4044657235342464</v>
      </c>
      <c r="I107">
        <v>0</v>
      </c>
      <c r="J107" t="str">
        <f>IF(I107="0","AB",IF(I107&gt;=67,"A",IF(I107&gt;=58,"B",IF(I107&gt;=43,"C",IF(I107&gt;=20,"S","W")))))</f>
        <v>W</v>
      </c>
      <c r="K107" s="5">
        <f>(I107-$R$7)/$R$8</f>
        <v>-1.0573791380669004</v>
      </c>
      <c r="L107" s="5" t="s">
        <v>132</v>
      </c>
      <c r="M107" t="s">
        <v>132</v>
      </c>
    </row>
    <row r="108" spans="1:13" x14ac:dyDescent="0.25">
      <c r="A108" t="s">
        <v>72</v>
      </c>
      <c r="B108" s="1">
        <v>2007339</v>
      </c>
      <c r="C108">
        <v>7</v>
      </c>
      <c r="D108" t="str">
        <f>IF(C108="0","AB",IF(C108&gt;=67,"A",IF(C108&gt;=58,"B",IF(C108&gt;=43,"C",IF(C108&gt;=20,"S","W")))))</f>
        <v>W</v>
      </c>
      <c r="E108" s="5">
        <f>(C108-$P$7)/$P$8</f>
        <v>-0.85042679325716219</v>
      </c>
      <c r="F108">
        <v>0</v>
      </c>
      <c r="G108" t="str">
        <f>IF(F108="0","AB",IF(F108&gt;=67,"A",IF(F108&gt;=58,"B",IF(F108&gt;=43,"C",IF(F108&gt;=20,"S","W")))))</f>
        <v>W</v>
      </c>
      <c r="H108" s="5">
        <f>(F108-$Q$7)/$Q$8</f>
        <v>-1.4044657235342464</v>
      </c>
      <c r="I108">
        <v>0</v>
      </c>
      <c r="J108" t="str">
        <f>IF(I108="0","AB",IF(I108&gt;=67,"A",IF(I108&gt;=58,"B",IF(I108&gt;=43,"C",IF(I108&gt;=20,"S","W")))))</f>
        <v>W</v>
      </c>
      <c r="K108" s="5">
        <f>(I108-$R$7)/$R$8</f>
        <v>-1.0573791380669004</v>
      </c>
      <c r="L108" s="5" t="s">
        <v>132</v>
      </c>
      <c r="M108" t="s">
        <v>132</v>
      </c>
    </row>
    <row r="109" spans="1:13" x14ac:dyDescent="0.25">
      <c r="A109" t="s">
        <v>7</v>
      </c>
      <c r="B109" s="1">
        <v>2007113</v>
      </c>
      <c r="C109">
        <v>0</v>
      </c>
      <c r="D109" t="str">
        <f>IF(C109="0","AB",IF(C109&gt;=67,"A",IF(C109&gt;=58,"B",IF(C109&gt;=43,"C",IF(C109&gt;=20,"S","W")))))</f>
        <v>W</v>
      </c>
      <c r="E109" s="5">
        <f>(C109-$P$7)/$P$8</f>
        <v>-1.3001029894042515</v>
      </c>
      <c r="F109">
        <v>0</v>
      </c>
      <c r="G109" t="str">
        <f>IF(F109="0","AB",IF(F109&gt;=67,"A",IF(F109&gt;=58,"B",IF(F109&gt;=43,"C",IF(F109&gt;=20,"S","W")))))</f>
        <v>W</v>
      </c>
      <c r="H109" s="5">
        <f>(F109-$Q$7)/$Q$8</f>
        <v>-1.4044657235342464</v>
      </c>
      <c r="I109">
        <v>0</v>
      </c>
      <c r="J109" t="str">
        <f>IF(I109="0","AB",IF(I109&gt;=67,"A",IF(I109&gt;=58,"B",IF(I109&gt;=43,"C",IF(I109&gt;=20,"S","W")))))</f>
        <v>W</v>
      </c>
      <c r="K109" s="5">
        <f>(I109-$R$7)/$R$8</f>
        <v>-1.0573791380669004</v>
      </c>
      <c r="L109" s="5" t="s">
        <v>132</v>
      </c>
      <c r="M109" t="s">
        <v>132</v>
      </c>
    </row>
    <row r="110" spans="1:13" x14ac:dyDescent="0.25">
      <c r="A110" t="s">
        <v>28</v>
      </c>
      <c r="B110" s="1">
        <v>2007197</v>
      </c>
      <c r="C110">
        <v>0</v>
      </c>
      <c r="D110" t="str">
        <f>IF(C110="0","AB",IF(C110&gt;=67,"A",IF(C110&gt;=58,"B",IF(C110&gt;=43,"C",IF(C110&gt;=20,"S","W")))))</f>
        <v>W</v>
      </c>
      <c r="E110" s="5">
        <f>(C110-$P$7)/$P$8</f>
        <v>-1.3001029894042515</v>
      </c>
      <c r="F110">
        <v>0</v>
      </c>
      <c r="G110" t="str">
        <f>IF(F110="0","AB",IF(F110&gt;=67,"A",IF(F110&gt;=58,"B",IF(F110&gt;=43,"C",IF(F110&gt;=20,"S","W")))))</f>
        <v>W</v>
      </c>
      <c r="H110" s="5">
        <f>(F110-$Q$7)/$Q$8</f>
        <v>-1.4044657235342464</v>
      </c>
      <c r="I110">
        <v>0</v>
      </c>
      <c r="J110" t="str">
        <f>IF(I110="0","AB",IF(I110&gt;=67,"A",IF(I110&gt;=58,"B",IF(I110&gt;=43,"C",IF(I110&gt;=20,"S","W")))))</f>
        <v>W</v>
      </c>
      <c r="K110" s="5">
        <f>(I110-$R$7)/$R$8</f>
        <v>-1.0573791380669004</v>
      </c>
      <c r="L110" s="5" t="s">
        <v>132</v>
      </c>
      <c r="M110" t="s">
        <v>132</v>
      </c>
    </row>
    <row r="111" spans="1:13" x14ac:dyDescent="0.25">
      <c r="A111" t="s">
        <v>31</v>
      </c>
      <c r="B111" s="1">
        <v>2007231</v>
      </c>
      <c r="C111">
        <v>0</v>
      </c>
      <c r="D111" t="str">
        <f>IF(C111="0","AB",IF(C111&gt;=67,"A",IF(C111&gt;=58,"B",IF(C111&gt;=43,"C",IF(C111&gt;=20,"S","W")))))</f>
        <v>W</v>
      </c>
      <c r="E111" s="5">
        <f>(C111-$P$7)/$P$8</f>
        <v>-1.3001029894042515</v>
      </c>
      <c r="F111">
        <v>0</v>
      </c>
      <c r="G111" t="str">
        <f>IF(F111="0","AB",IF(F111&gt;=67,"A",IF(F111&gt;=58,"B",IF(F111&gt;=43,"C",IF(F111&gt;=20,"S","W")))))</f>
        <v>W</v>
      </c>
      <c r="H111" s="5">
        <f>(F111-$Q$7)/$Q$8</f>
        <v>-1.4044657235342464</v>
      </c>
      <c r="I111">
        <v>0</v>
      </c>
      <c r="J111" t="str">
        <f>IF(I111="0","AB",IF(I111&gt;=67,"A",IF(I111&gt;=58,"B",IF(I111&gt;=43,"C",IF(I111&gt;=20,"S","W")))))</f>
        <v>W</v>
      </c>
      <c r="K111" s="5">
        <f>(I111-$R$7)/$R$8</f>
        <v>-1.0573791380669004</v>
      </c>
      <c r="L111" s="5" t="s">
        <v>132</v>
      </c>
      <c r="M111" t="s">
        <v>132</v>
      </c>
    </row>
    <row r="112" spans="1:13" x14ac:dyDescent="0.25">
      <c r="A112" t="s">
        <v>45</v>
      </c>
      <c r="B112" s="1">
        <v>2007245</v>
      </c>
      <c r="C112">
        <v>0</v>
      </c>
      <c r="D112" t="str">
        <f>IF(C112="0","AB",IF(C112&gt;=67,"A",IF(C112&gt;=58,"B",IF(C112&gt;=43,"C",IF(C112&gt;=20,"S","W")))))</f>
        <v>W</v>
      </c>
      <c r="E112" s="5">
        <f>(C112-$P$7)/$P$8</f>
        <v>-1.3001029894042515</v>
      </c>
      <c r="F112">
        <v>0</v>
      </c>
      <c r="G112" t="str">
        <f>IF(F112="0","AB",IF(F112&gt;=67,"A",IF(F112&gt;=58,"B",IF(F112&gt;=43,"C",IF(F112&gt;=20,"S","W")))))</f>
        <v>W</v>
      </c>
      <c r="H112" s="5">
        <f>(F112-$Q$7)/$Q$8</f>
        <v>-1.4044657235342464</v>
      </c>
      <c r="I112">
        <v>0</v>
      </c>
      <c r="J112" t="str">
        <f>IF(I112="0","AB",IF(I112&gt;=67,"A",IF(I112&gt;=58,"B",IF(I112&gt;=43,"C",IF(I112&gt;=20,"S","W")))))</f>
        <v>W</v>
      </c>
      <c r="K112" s="5">
        <f>(I112-$R$7)/$R$8</f>
        <v>-1.0573791380669004</v>
      </c>
      <c r="L112" s="5" t="s">
        <v>132</v>
      </c>
      <c r="M112" t="s">
        <v>132</v>
      </c>
    </row>
    <row r="113" spans="1:13" x14ac:dyDescent="0.25">
      <c r="A113" t="s">
        <v>51</v>
      </c>
      <c r="B113" s="1">
        <v>2007254</v>
      </c>
      <c r="C113">
        <v>0</v>
      </c>
      <c r="D113" t="str">
        <f>IF(C113="0","AB",IF(C113&gt;=67,"A",IF(C113&gt;=58,"B",IF(C113&gt;=43,"C",IF(C113&gt;=20,"S","W")))))</f>
        <v>W</v>
      </c>
      <c r="E113" s="5">
        <f>(C113-$P$7)/$P$8</f>
        <v>-1.3001029894042515</v>
      </c>
      <c r="F113">
        <v>0</v>
      </c>
      <c r="G113" t="str">
        <f>IF(F113="0","AB",IF(F113&gt;=67,"A",IF(F113&gt;=58,"B",IF(F113&gt;=43,"C",IF(F113&gt;=20,"S","W")))))</f>
        <v>W</v>
      </c>
      <c r="H113" s="5">
        <f>(F113-$Q$7)/$Q$8</f>
        <v>-1.4044657235342464</v>
      </c>
      <c r="I113">
        <v>0</v>
      </c>
      <c r="J113" t="str">
        <f>IF(I113="0","AB",IF(I113&gt;=67,"A",IF(I113&gt;=58,"B",IF(I113&gt;=43,"C",IF(I113&gt;=20,"S","W")))))</f>
        <v>W</v>
      </c>
      <c r="K113" s="5">
        <f>(I113-$R$7)/$R$8</f>
        <v>-1.0573791380669004</v>
      </c>
      <c r="L113" s="5" t="s">
        <v>132</v>
      </c>
      <c r="M113" t="s">
        <v>132</v>
      </c>
    </row>
    <row r="114" spans="1:13" x14ac:dyDescent="0.25">
      <c r="A114" t="s">
        <v>56</v>
      </c>
      <c r="B114" s="1">
        <v>2007268</v>
      </c>
      <c r="C114">
        <v>0</v>
      </c>
      <c r="D114" t="str">
        <f>IF(C114="0","AB",IF(C114&gt;=67,"A",IF(C114&gt;=58,"B",IF(C114&gt;=43,"C",IF(C114&gt;=20,"S","W")))))</f>
        <v>W</v>
      </c>
      <c r="E114" s="5">
        <f>(C114-$P$7)/$P$8</f>
        <v>-1.3001029894042515</v>
      </c>
      <c r="F114">
        <v>0</v>
      </c>
      <c r="G114" t="str">
        <f>IF(F114="0","AB",IF(F114&gt;=67,"A",IF(F114&gt;=58,"B",IF(F114&gt;=43,"C",IF(F114&gt;=20,"S","W")))))</f>
        <v>W</v>
      </c>
      <c r="H114" s="5">
        <f>(F114-$Q$7)/$Q$8</f>
        <v>-1.4044657235342464</v>
      </c>
      <c r="I114">
        <v>0</v>
      </c>
      <c r="J114" t="str">
        <f>IF(I114="0","AB",IF(I114&gt;=67,"A",IF(I114&gt;=58,"B",IF(I114&gt;=43,"C",IF(I114&gt;=20,"S","W")))))</f>
        <v>W</v>
      </c>
      <c r="K114" s="5">
        <f>(I114-$R$7)/$R$8</f>
        <v>-1.0573791380669004</v>
      </c>
      <c r="L114" s="5" t="s">
        <v>132</v>
      </c>
      <c r="M114" t="s">
        <v>132</v>
      </c>
    </row>
    <row r="115" spans="1:13" x14ac:dyDescent="0.25">
      <c r="A115" t="s">
        <v>60</v>
      </c>
      <c r="B115" s="1">
        <v>2007272</v>
      </c>
      <c r="C115">
        <v>0</v>
      </c>
      <c r="D115" t="str">
        <f>IF(C115="0","AB",IF(C115&gt;=67,"A",IF(C115&gt;=58,"B",IF(C115&gt;=43,"C",IF(C115&gt;=20,"S","W")))))</f>
        <v>W</v>
      </c>
      <c r="E115" s="5">
        <f>(C115-$P$7)/$P$8</f>
        <v>-1.3001029894042515</v>
      </c>
      <c r="F115">
        <v>0</v>
      </c>
      <c r="G115" t="str">
        <f>IF(F115="0","AB",IF(F115&gt;=67,"A",IF(F115&gt;=58,"B",IF(F115&gt;=43,"C",IF(F115&gt;=20,"S","W")))))</f>
        <v>W</v>
      </c>
      <c r="H115" s="5">
        <f>(F115-$Q$7)/$Q$8</f>
        <v>-1.4044657235342464</v>
      </c>
      <c r="I115">
        <v>0</v>
      </c>
      <c r="J115" t="str">
        <f>IF(I115="0","AB",IF(I115&gt;=67,"A",IF(I115&gt;=58,"B",IF(I115&gt;=43,"C",IF(I115&gt;=20,"S","W")))))</f>
        <v>W</v>
      </c>
      <c r="K115" s="5">
        <f>(I115-$R$7)/$R$8</f>
        <v>-1.0573791380669004</v>
      </c>
      <c r="L115" s="5" t="s">
        <v>132</v>
      </c>
      <c r="M115" t="s">
        <v>132</v>
      </c>
    </row>
    <row r="116" spans="1:13" x14ac:dyDescent="0.25">
      <c r="A116" t="s">
        <v>100</v>
      </c>
      <c r="B116" s="1">
        <v>2007275</v>
      </c>
      <c r="C116">
        <v>0</v>
      </c>
      <c r="D116" t="str">
        <f>IF(C116="0","AB",IF(C116&gt;=67,"A",IF(C116&gt;=58,"B",IF(C116&gt;=43,"C",IF(C116&gt;=20,"S","W")))))</f>
        <v>W</v>
      </c>
      <c r="E116" s="5">
        <f>(C116-$P$7)/$P$8</f>
        <v>-1.3001029894042515</v>
      </c>
      <c r="F116">
        <v>0</v>
      </c>
      <c r="G116" t="str">
        <f>IF(F116="0","AB",IF(F116&gt;=67,"A",IF(F116&gt;=58,"B",IF(F116&gt;=43,"C",IF(F116&gt;=20,"S","W")))))</f>
        <v>W</v>
      </c>
      <c r="H116" s="5">
        <f>(F116-$Q$7)/$Q$8</f>
        <v>-1.4044657235342464</v>
      </c>
      <c r="I116">
        <v>0</v>
      </c>
      <c r="J116" t="str">
        <f>IF(I116="0","AB",IF(I116&gt;=67,"A",IF(I116&gt;=58,"B",IF(I116&gt;=43,"C",IF(I116&gt;=20,"S","W")))))</f>
        <v>W</v>
      </c>
      <c r="K116" s="5">
        <f>(I116-$R$7)/$R$8</f>
        <v>-1.0573791380669004</v>
      </c>
      <c r="L116" s="5" t="s">
        <v>132</v>
      </c>
      <c r="M116" t="s">
        <v>132</v>
      </c>
    </row>
    <row r="117" spans="1:13" x14ac:dyDescent="0.25">
      <c r="A117" t="s">
        <v>102</v>
      </c>
      <c r="B117" s="1">
        <v>2007277</v>
      </c>
      <c r="C117">
        <v>0</v>
      </c>
      <c r="D117" t="str">
        <f>IF(C117="0","AB",IF(C117&gt;=67,"A",IF(C117&gt;=58,"B",IF(C117&gt;=43,"C",IF(C117&gt;=20,"S","W")))))</f>
        <v>W</v>
      </c>
      <c r="E117" s="5">
        <f>(C117-$P$7)/$P$8</f>
        <v>-1.3001029894042515</v>
      </c>
      <c r="F117">
        <v>0</v>
      </c>
      <c r="G117" t="str">
        <f>IF(F117="0","AB",IF(F117&gt;=67,"A",IF(F117&gt;=58,"B",IF(F117&gt;=43,"C",IF(F117&gt;=20,"S","W")))))</f>
        <v>W</v>
      </c>
      <c r="H117" s="5">
        <f>(F117-$Q$7)/$Q$8</f>
        <v>-1.4044657235342464</v>
      </c>
      <c r="I117">
        <v>0</v>
      </c>
      <c r="J117" t="str">
        <f>IF(I117="0","AB",IF(I117&gt;=67,"A",IF(I117&gt;=58,"B",IF(I117&gt;=43,"C",IF(I117&gt;=20,"S","W")))))</f>
        <v>W</v>
      </c>
      <c r="K117" s="5">
        <f>(I117-$R$7)/$R$8</f>
        <v>-1.0573791380669004</v>
      </c>
      <c r="L117" s="5" t="s">
        <v>132</v>
      </c>
      <c r="M117" t="s">
        <v>132</v>
      </c>
    </row>
    <row r="118" spans="1:13" x14ac:dyDescent="0.25">
      <c r="A118" t="s">
        <v>103</v>
      </c>
      <c r="B118" s="1">
        <v>2007278</v>
      </c>
      <c r="C118">
        <v>0</v>
      </c>
      <c r="D118" t="str">
        <f>IF(C118="0","AB",IF(C118&gt;=67,"A",IF(C118&gt;=58,"B",IF(C118&gt;=43,"C",IF(C118&gt;=20,"S","W")))))</f>
        <v>W</v>
      </c>
      <c r="E118" s="5">
        <f>(C118-$P$7)/$P$8</f>
        <v>-1.3001029894042515</v>
      </c>
      <c r="F118">
        <v>0</v>
      </c>
      <c r="G118" t="str">
        <f>IF(F118="0","AB",IF(F118&gt;=67,"A",IF(F118&gt;=58,"B",IF(F118&gt;=43,"C",IF(F118&gt;=20,"S","W")))))</f>
        <v>W</v>
      </c>
      <c r="H118" s="5">
        <f>(F118-$Q$7)/$Q$8</f>
        <v>-1.4044657235342464</v>
      </c>
      <c r="I118">
        <v>0</v>
      </c>
      <c r="J118" t="str">
        <f>IF(I118="0","AB",IF(I118&gt;=67,"A",IF(I118&gt;=58,"B",IF(I118&gt;=43,"C",IF(I118&gt;=20,"S","W")))))</f>
        <v>W</v>
      </c>
      <c r="K118" s="5">
        <f>(I118-$R$7)/$R$8</f>
        <v>-1.0573791380669004</v>
      </c>
      <c r="L118" s="5" t="s">
        <v>132</v>
      </c>
      <c r="M118" t="s">
        <v>132</v>
      </c>
    </row>
    <row r="119" spans="1:13" x14ac:dyDescent="0.25">
      <c r="A119" t="s">
        <v>104</v>
      </c>
      <c r="B119" s="1">
        <v>2007279</v>
      </c>
      <c r="C119">
        <v>0</v>
      </c>
      <c r="D119" t="str">
        <f>IF(C119="0","AB",IF(C119&gt;=67,"A",IF(C119&gt;=58,"B",IF(C119&gt;=43,"C",IF(C119&gt;=20,"S","W")))))</f>
        <v>W</v>
      </c>
      <c r="E119" s="5">
        <f>(C119-$P$7)/$P$8</f>
        <v>-1.3001029894042515</v>
      </c>
      <c r="F119">
        <v>0</v>
      </c>
      <c r="G119" t="str">
        <f>IF(F119="0","AB",IF(F119&gt;=67,"A",IF(F119&gt;=58,"B",IF(F119&gt;=43,"C",IF(F119&gt;=20,"S","W")))))</f>
        <v>W</v>
      </c>
      <c r="H119" s="5">
        <f>(F119-$Q$7)/$Q$8</f>
        <v>-1.4044657235342464</v>
      </c>
      <c r="I119">
        <v>0</v>
      </c>
      <c r="J119" t="str">
        <f>IF(I119="0","AB",IF(I119&gt;=67,"A",IF(I119&gt;=58,"B",IF(I119&gt;=43,"C",IF(I119&gt;=20,"S","W")))))</f>
        <v>W</v>
      </c>
      <c r="K119" s="5">
        <f>(I119-$R$7)/$R$8</f>
        <v>-1.0573791380669004</v>
      </c>
      <c r="L119" s="5" t="s">
        <v>132</v>
      </c>
      <c r="M119" t="s">
        <v>132</v>
      </c>
    </row>
    <row r="120" spans="1:13" x14ac:dyDescent="0.25">
      <c r="A120" t="s">
        <v>71</v>
      </c>
      <c r="B120" s="1">
        <v>2007336</v>
      </c>
      <c r="C120">
        <v>0</v>
      </c>
      <c r="D120" t="str">
        <f>IF(C120="0","AB",IF(C120&gt;=67,"A",IF(C120&gt;=58,"B",IF(C120&gt;=43,"C",IF(C120&gt;=20,"S","W")))))</f>
        <v>W</v>
      </c>
      <c r="E120" s="5">
        <f>(C120-$P$7)/$P$8</f>
        <v>-1.3001029894042515</v>
      </c>
      <c r="F120">
        <v>0</v>
      </c>
      <c r="G120" t="str">
        <f>IF(F120="0","AB",IF(F120&gt;=67,"A",IF(F120&gt;=58,"B",IF(F120&gt;=43,"C",IF(F120&gt;=20,"S","W")))))</f>
        <v>W</v>
      </c>
      <c r="H120" s="5">
        <f>(F120-$Q$7)/$Q$8</f>
        <v>-1.4044657235342464</v>
      </c>
      <c r="I120">
        <v>0</v>
      </c>
      <c r="J120" t="str">
        <f>IF(I120="0","AB",IF(I120&gt;=67,"A",IF(I120&gt;=58,"B",IF(I120&gt;=43,"C",IF(I120&gt;=20,"S","W")))))</f>
        <v>W</v>
      </c>
      <c r="K120" s="5">
        <f>(I120-$R$7)/$R$8</f>
        <v>-1.0573791380669004</v>
      </c>
      <c r="L120" s="5" t="s">
        <v>132</v>
      </c>
      <c r="M120" t="s">
        <v>132</v>
      </c>
    </row>
    <row r="121" spans="1:13" x14ac:dyDescent="0.25">
      <c r="A121" t="s">
        <v>89</v>
      </c>
      <c r="B121" s="1">
        <v>2007405</v>
      </c>
      <c r="C121">
        <v>0</v>
      </c>
      <c r="D121" t="str">
        <f>IF(C121="0","AB",IF(C121&gt;=67,"A",IF(C121&gt;=58,"B",IF(C121&gt;=43,"C",IF(C121&gt;=20,"S","W")))))</f>
        <v>W</v>
      </c>
      <c r="E121" s="5">
        <f>(C121-$P$7)/$P$8</f>
        <v>-1.3001029894042515</v>
      </c>
      <c r="F121">
        <v>0</v>
      </c>
      <c r="G121" t="str">
        <f>IF(F121="0","AB",IF(F121&gt;=67,"A",IF(F121&gt;=58,"B",IF(F121&gt;=43,"C",IF(F121&gt;=20,"S","W")))))</f>
        <v>W</v>
      </c>
      <c r="H121" s="5">
        <f>(F121-$Q$7)/$Q$8</f>
        <v>-1.4044657235342464</v>
      </c>
      <c r="I121">
        <v>0</v>
      </c>
      <c r="J121" t="str">
        <f>IF(I121="0","AB",IF(I121&gt;=67,"A",IF(I121&gt;=58,"B",IF(I121&gt;=43,"C",IF(I121&gt;=20,"S","W")))))</f>
        <v>W</v>
      </c>
      <c r="K121" s="5">
        <f>(I121-$R$7)/$R$8</f>
        <v>-1.0573791380669004</v>
      </c>
      <c r="L121" s="5" t="s">
        <v>132</v>
      </c>
      <c r="M121" t="s">
        <v>132</v>
      </c>
    </row>
    <row r="122" spans="1:13" x14ac:dyDescent="0.25">
      <c r="A122" t="s">
        <v>114</v>
      </c>
      <c r="B122" s="1">
        <v>2007408</v>
      </c>
      <c r="C122">
        <v>0</v>
      </c>
      <c r="D122" t="str">
        <f>IF(C122="0","AB",IF(C122&gt;=67,"A",IF(C122&gt;=58,"B",IF(C122&gt;=43,"C",IF(C122&gt;=20,"S","W")))))</f>
        <v>W</v>
      </c>
      <c r="E122" s="5">
        <f>(C122-$P$7)/$P$8</f>
        <v>-1.3001029894042515</v>
      </c>
      <c r="F122">
        <v>0</v>
      </c>
      <c r="G122" t="str">
        <f>IF(F122="0","AB",IF(F122&gt;=67,"A",IF(F122&gt;=58,"B",IF(F122&gt;=43,"C",IF(F122&gt;=20,"S","W")))))</f>
        <v>W</v>
      </c>
      <c r="H122" s="5">
        <f>(F122-$Q$7)/$Q$8</f>
        <v>-1.4044657235342464</v>
      </c>
      <c r="I122">
        <v>0</v>
      </c>
      <c r="J122" t="str">
        <f>IF(I122="0","AB",IF(I122&gt;=67,"A",IF(I122&gt;=58,"B",IF(I122&gt;=43,"C",IF(I122&gt;=20,"S","W")))))</f>
        <v>W</v>
      </c>
      <c r="K122" s="5">
        <f>(I122-$R$7)/$R$8</f>
        <v>-1.0573791380669004</v>
      </c>
      <c r="L122" s="5" t="s">
        <v>132</v>
      </c>
      <c r="M122" t="s">
        <v>132</v>
      </c>
    </row>
    <row r="123" spans="1:13" x14ac:dyDescent="0.25">
      <c r="A123" t="s">
        <v>91</v>
      </c>
      <c r="B123" s="1">
        <v>2007410</v>
      </c>
      <c r="C123">
        <v>0</v>
      </c>
      <c r="D123" t="str">
        <f>IF(C123="0","AB",IF(C123&gt;=67,"A",IF(C123&gt;=58,"B",IF(C123&gt;=43,"C",IF(C123&gt;=20,"S","W")))))</f>
        <v>W</v>
      </c>
      <c r="E123" s="5">
        <f>(C123-$P$7)/$P$8</f>
        <v>-1.3001029894042515</v>
      </c>
      <c r="F123">
        <v>0</v>
      </c>
      <c r="G123" t="str">
        <f>IF(F123="0","AB",IF(F123&gt;=67,"A",IF(F123&gt;=58,"B",IF(F123&gt;=43,"C",IF(F123&gt;=20,"S","W")))))</f>
        <v>W</v>
      </c>
      <c r="H123" s="5">
        <f>(F123-$Q$7)/$Q$8</f>
        <v>-1.4044657235342464</v>
      </c>
      <c r="I123">
        <v>0</v>
      </c>
      <c r="J123" t="str">
        <f>IF(I123="0","AB",IF(I123&gt;=67,"A",IF(I123&gt;=58,"B",IF(I123&gt;=43,"C",IF(I123&gt;=20,"S","W")))))</f>
        <v>W</v>
      </c>
      <c r="K123" s="5">
        <f>(I123-$R$7)/$R$8</f>
        <v>-1.0573791380669004</v>
      </c>
      <c r="L123" s="5" t="s">
        <v>132</v>
      </c>
      <c r="M123" t="s">
        <v>132</v>
      </c>
    </row>
    <row r="124" spans="1:13" x14ac:dyDescent="0.25">
      <c r="A124" t="s">
        <v>117</v>
      </c>
      <c r="B124" s="1">
        <v>2007414</v>
      </c>
      <c r="C124">
        <v>0</v>
      </c>
      <c r="D124" t="str">
        <f>IF(C124="0","AB",IF(C124&gt;=67,"A",IF(C124&gt;=58,"B",IF(C124&gt;=43,"C",IF(C124&gt;=20,"S","W")))))</f>
        <v>W</v>
      </c>
      <c r="E124" s="5">
        <f>(C124-$P$7)/$P$8</f>
        <v>-1.3001029894042515</v>
      </c>
      <c r="F124">
        <v>0</v>
      </c>
      <c r="G124" t="str">
        <f>IF(F124="0","AB",IF(F124&gt;=67,"A",IF(F124&gt;=58,"B",IF(F124&gt;=43,"C",IF(F124&gt;=20,"S","W")))))</f>
        <v>W</v>
      </c>
      <c r="H124" s="5">
        <f>(F124-$Q$7)/$Q$8</f>
        <v>-1.4044657235342464</v>
      </c>
      <c r="I124">
        <v>0</v>
      </c>
      <c r="J124" t="str">
        <f>IF(I124="0","AB",IF(I124&gt;=67,"A",IF(I124&gt;=58,"B",IF(I124&gt;=43,"C",IF(I124&gt;=20,"S","W")))))</f>
        <v>W</v>
      </c>
      <c r="K124" s="5">
        <f>(I124-$R$7)/$R$8</f>
        <v>-1.0573791380669004</v>
      </c>
      <c r="L124" s="5" t="s">
        <v>132</v>
      </c>
      <c r="M124" t="s">
        <v>132</v>
      </c>
    </row>
    <row r="125" spans="1:13" x14ac:dyDescent="0.25">
      <c r="A125" t="s">
        <v>118</v>
      </c>
      <c r="B125" s="1">
        <v>2007418</v>
      </c>
      <c r="C125">
        <v>0</v>
      </c>
      <c r="D125" t="str">
        <f>IF(C125="0","AB",IF(C125&gt;=67,"A",IF(C125&gt;=58,"B",IF(C125&gt;=43,"C",IF(C125&gt;=20,"S","W")))))</f>
        <v>W</v>
      </c>
      <c r="E125" s="5">
        <f>(C125-$P$7)/$P$8</f>
        <v>-1.3001029894042515</v>
      </c>
      <c r="F125">
        <v>0</v>
      </c>
      <c r="G125" t="str">
        <f>IF(F125="0","AB",IF(F125&gt;=67,"A",IF(F125&gt;=58,"B",IF(F125&gt;=43,"C",IF(F125&gt;=20,"S","W")))))</f>
        <v>W</v>
      </c>
      <c r="H125" s="5">
        <f>(F125-$Q$7)/$Q$8</f>
        <v>-1.4044657235342464</v>
      </c>
      <c r="I125">
        <v>0</v>
      </c>
      <c r="J125" t="str">
        <f>IF(I125="0","AB",IF(I125&gt;=67,"A",IF(I125&gt;=58,"B",IF(I125&gt;=43,"C",IF(I125&gt;=20,"S","W")))))</f>
        <v>W</v>
      </c>
      <c r="K125" s="5">
        <f>(I125-$R$7)/$R$8</f>
        <v>-1.0573791380669004</v>
      </c>
      <c r="L125" s="5" t="s">
        <v>132</v>
      </c>
      <c r="M125" t="s">
        <v>132</v>
      </c>
    </row>
  </sheetData>
  <sortState xmlns:xlrd2="http://schemas.microsoft.com/office/spreadsheetml/2017/richdata2" ref="A2:M125">
    <sortCondition ref="M2:M12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2026-06-15T07:52:12Z</cp:lastPrinted>
  <dcterms:created xsi:type="dcterms:W3CDTF">2026-06-06T06:24:56Z</dcterms:created>
  <dcterms:modified xsi:type="dcterms:W3CDTF">2026-06-15T17:23:05Z</dcterms:modified>
</cp:coreProperties>
</file>