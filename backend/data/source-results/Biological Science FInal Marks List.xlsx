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A822769-1EDF-4599-8952-0EA31B1AF13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3" i="1" l="1"/>
  <c r="S12" i="1"/>
  <c r="R13" i="1"/>
  <c r="R12" i="1"/>
  <c r="Q12" i="1"/>
  <c r="Q13" i="1"/>
  <c r="J99" i="1"/>
  <c r="J90" i="1"/>
  <c r="J151" i="1"/>
  <c r="J17" i="1"/>
  <c r="J129" i="1"/>
  <c r="J25" i="1"/>
  <c r="J11" i="1"/>
  <c r="J106" i="1"/>
  <c r="J108" i="1"/>
  <c r="J135" i="1"/>
  <c r="J136" i="1"/>
  <c r="J94" i="1"/>
  <c r="J143" i="1"/>
  <c r="J148" i="1"/>
  <c r="J149" i="1"/>
  <c r="J146" i="1"/>
  <c r="J19" i="1"/>
  <c r="J30" i="1"/>
  <c r="J60" i="1"/>
  <c r="J122" i="1"/>
  <c r="J97" i="1"/>
  <c r="J93" i="1"/>
  <c r="J89" i="1"/>
  <c r="J152" i="1"/>
  <c r="J132" i="1"/>
  <c r="J21" i="1"/>
  <c r="J36" i="1"/>
  <c r="J38" i="1"/>
  <c r="J86" i="1"/>
  <c r="J98" i="1"/>
  <c r="J22" i="1"/>
  <c r="J77" i="1"/>
  <c r="J61" i="1"/>
  <c r="J126" i="1"/>
  <c r="J78" i="1"/>
  <c r="J52" i="1"/>
  <c r="J153" i="1"/>
  <c r="J130" i="1"/>
  <c r="J63" i="1"/>
  <c r="J43" i="1"/>
  <c r="J111" i="1"/>
  <c r="J105" i="1"/>
  <c r="J144" i="1"/>
  <c r="J92" i="1"/>
  <c r="J154" i="1"/>
  <c r="J155" i="1"/>
  <c r="J156" i="1"/>
  <c r="J46" i="1"/>
  <c r="J95" i="1"/>
  <c r="J123" i="1"/>
  <c r="J107" i="1"/>
  <c r="J157" i="1"/>
  <c r="J158" i="1"/>
  <c r="J116" i="1"/>
  <c r="J159" i="1"/>
  <c r="J12" i="1"/>
  <c r="J3" i="1"/>
  <c r="J29" i="1"/>
  <c r="J62" i="1"/>
  <c r="J67" i="1"/>
  <c r="J50" i="1"/>
  <c r="J32" i="1"/>
  <c r="J48" i="1"/>
  <c r="J26" i="1"/>
  <c r="J113" i="1"/>
  <c r="J139" i="1"/>
  <c r="J140" i="1"/>
  <c r="J82" i="1"/>
  <c r="J51" i="1"/>
  <c r="J37" i="1"/>
  <c r="J27" i="1"/>
  <c r="J102" i="1"/>
  <c r="J10" i="1"/>
  <c r="J59" i="1"/>
  <c r="J16" i="1"/>
  <c r="J160" i="1"/>
  <c r="J45" i="1"/>
  <c r="J33" i="1"/>
  <c r="J69" i="1"/>
  <c r="J100" i="1"/>
  <c r="J2" i="1"/>
  <c r="J57" i="1"/>
  <c r="J53" i="1"/>
  <c r="J161" i="1"/>
  <c r="J28" i="1"/>
  <c r="J103" i="1"/>
  <c r="J118" i="1"/>
  <c r="J23" i="1"/>
  <c r="J133" i="1"/>
  <c r="J72" i="1"/>
  <c r="J76" i="1"/>
  <c r="J112" i="1"/>
  <c r="J145" i="1"/>
  <c r="J127" i="1"/>
  <c r="J131" i="1"/>
  <c r="J74" i="1"/>
  <c r="J79" i="1"/>
  <c r="J83" i="1"/>
  <c r="J150" i="1"/>
  <c r="J66" i="1"/>
  <c r="J88" i="1"/>
  <c r="J85" i="1"/>
  <c r="J73" i="1"/>
  <c r="J8" i="1"/>
  <c r="J35" i="1"/>
  <c r="J101" i="1"/>
  <c r="J109" i="1"/>
  <c r="J104" i="1"/>
  <c r="J70" i="1"/>
  <c r="J24" i="1"/>
  <c r="J15" i="1"/>
  <c r="J91" i="1"/>
  <c r="J9" i="1"/>
  <c r="J71" i="1"/>
  <c r="J162" i="1"/>
  <c r="J163" i="1"/>
  <c r="J115" i="1"/>
  <c r="J58" i="1"/>
  <c r="J6" i="1"/>
  <c r="J138" i="1"/>
  <c r="J34" i="1"/>
  <c r="J7" i="1"/>
  <c r="J44" i="1"/>
  <c r="J20" i="1"/>
  <c r="J96" i="1"/>
  <c r="J49" i="1"/>
  <c r="J41" i="1"/>
  <c r="J47" i="1"/>
  <c r="J110" i="1"/>
  <c r="J64" i="1"/>
  <c r="J80" i="1"/>
  <c r="J65" i="1"/>
  <c r="J134" i="1"/>
  <c r="J4" i="1"/>
  <c r="J42" i="1"/>
  <c r="J5" i="1"/>
  <c r="J119" i="1"/>
  <c r="J54" i="1"/>
  <c r="J75" i="1"/>
  <c r="J31" i="1"/>
  <c r="J18" i="1"/>
  <c r="J141" i="1"/>
  <c r="J55" i="1"/>
  <c r="J137" i="1"/>
  <c r="J117" i="1"/>
  <c r="J124" i="1"/>
  <c r="J128" i="1"/>
  <c r="J125" i="1"/>
  <c r="J114" i="1"/>
  <c r="J121" i="1"/>
  <c r="J164" i="1"/>
  <c r="J87" i="1"/>
  <c r="J120" i="1"/>
  <c r="J68" i="1"/>
  <c r="J39" i="1"/>
  <c r="J56" i="1"/>
  <c r="J142" i="1"/>
  <c r="J13" i="1"/>
  <c r="J84" i="1"/>
  <c r="J81" i="1"/>
  <c r="J40" i="1"/>
  <c r="J14" i="1"/>
  <c r="J147" i="1"/>
  <c r="G99" i="1"/>
  <c r="G90" i="1"/>
  <c r="G151" i="1"/>
  <c r="G17" i="1"/>
  <c r="G129" i="1"/>
  <c r="G25" i="1"/>
  <c r="G11" i="1"/>
  <c r="G106" i="1"/>
  <c r="G108" i="1"/>
  <c r="G135" i="1"/>
  <c r="G136" i="1"/>
  <c r="G94" i="1"/>
  <c r="G143" i="1"/>
  <c r="G148" i="1"/>
  <c r="G149" i="1"/>
  <c r="G146" i="1"/>
  <c r="G19" i="1"/>
  <c r="G30" i="1"/>
  <c r="G60" i="1"/>
  <c r="G122" i="1"/>
  <c r="G97" i="1"/>
  <c r="G93" i="1"/>
  <c r="G89" i="1"/>
  <c r="G152" i="1"/>
  <c r="G132" i="1"/>
  <c r="G21" i="1"/>
  <c r="G36" i="1"/>
  <c r="G38" i="1"/>
  <c r="G86" i="1"/>
  <c r="G98" i="1"/>
  <c r="G22" i="1"/>
  <c r="G77" i="1"/>
  <c r="G61" i="1"/>
  <c r="G126" i="1"/>
  <c r="G78" i="1"/>
  <c r="G52" i="1"/>
  <c r="G153" i="1"/>
  <c r="G130" i="1"/>
  <c r="G63" i="1"/>
  <c r="G43" i="1"/>
  <c r="G111" i="1"/>
  <c r="G105" i="1"/>
  <c r="G144" i="1"/>
  <c r="G92" i="1"/>
  <c r="G154" i="1"/>
  <c r="G155" i="1"/>
  <c r="G156" i="1"/>
  <c r="G46" i="1"/>
  <c r="G95" i="1"/>
  <c r="G123" i="1"/>
  <c r="G107" i="1"/>
  <c r="G157" i="1"/>
  <c r="G158" i="1"/>
  <c r="G116" i="1"/>
  <c r="G159" i="1"/>
  <c r="G12" i="1"/>
  <c r="G3" i="1"/>
  <c r="G29" i="1"/>
  <c r="G62" i="1"/>
  <c r="G67" i="1"/>
  <c r="G50" i="1"/>
  <c r="G32" i="1"/>
  <c r="G48" i="1"/>
  <c r="G26" i="1"/>
  <c r="G113" i="1"/>
  <c r="G139" i="1"/>
  <c r="G140" i="1"/>
  <c r="G82" i="1"/>
  <c r="G51" i="1"/>
  <c r="G37" i="1"/>
  <c r="G27" i="1"/>
  <c r="G102" i="1"/>
  <c r="G10" i="1"/>
  <c r="G59" i="1"/>
  <c r="G16" i="1"/>
  <c r="G160" i="1"/>
  <c r="G45" i="1"/>
  <c r="G33" i="1"/>
  <c r="G69" i="1"/>
  <c r="G100" i="1"/>
  <c r="G2" i="1"/>
  <c r="G57" i="1"/>
  <c r="G53" i="1"/>
  <c r="G161" i="1"/>
  <c r="G28" i="1"/>
  <c r="G103" i="1"/>
  <c r="G118" i="1"/>
  <c r="G23" i="1"/>
  <c r="G133" i="1"/>
  <c r="G72" i="1"/>
  <c r="G76" i="1"/>
  <c r="G112" i="1"/>
  <c r="G145" i="1"/>
  <c r="G127" i="1"/>
  <c r="G131" i="1"/>
  <c r="G74" i="1"/>
  <c r="G79" i="1"/>
  <c r="G83" i="1"/>
  <c r="G150" i="1"/>
  <c r="G66" i="1"/>
  <c r="G88" i="1"/>
  <c r="G85" i="1"/>
  <c r="G73" i="1"/>
  <c r="G8" i="1"/>
  <c r="G35" i="1"/>
  <c r="G101" i="1"/>
  <c r="G109" i="1"/>
  <c r="G104" i="1"/>
  <c r="G70" i="1"/>
  <c r="G24" i="1"/>
  <c r="G15" i="1"/>
  <c r="G91" i="1"/>
  <c r="G9" i="1"/>
  <c r="G71" i="1"/>
  <c r="G162" i="1"/>
  <c r="G163" i="1"/>
  <c r="G115" i="1"/>
  <c r="G58" i="1"/>
  <c r="G6" i="1"/>
  <c r="G138" i="1"/>
  <c r="G34" i="1"/>
  <c r="G7" i="1"/>
  <c r="G44" i="1"/>
  <c r="G20" i="1"/>
  <c r="G96" i="1"/>
  <c r="G49" i="1"/>
  <c r="G41" i="1"/>
  <c r="G47" i="1"/>
  <c r="G110" i="1"/>
  <c r="G64" i="1"/>
  <c r="G80" i="1"/>
  <c r="G65" i="1"/>
  <c r="G134" i="1"/>
  <c r="G4" i="1"/>
  <c r="G42" i="1"/>
  <c r="G5" i="1"/>
  <c r="G119" i="1"/>
  <c r="G54" i="1"/>
  <c r="G75" i="1"/>
  <c r="G31" i="1"/>
  <c r="G18" i="1"/>
  <c r="G141" i="1"/>
  <c r="G55" i="1"/>
  <c r="G137" i="1"/>
  <c r="G117" i="1"/>
  <c r="G124" i="1"/>
  <c r="G128" i="1"/>
  <c r="G125" i="1"/>
  <c r="G114" i="1"/>
  <c r="G121" i="1"/>
  <c r="G164" i="1"/>
  <c r="G87" i="1"/>
  <c r="G120" i="1"/>
  <c r="G68" i="1"/>
  <c r="G39" i="1"/>
  <c r="G56" i="1"/>
  <c r="G142" i="1"/>
  <c r="G13" i="1"/>
  <c r="G84" i="1"/>
  <c r="G81" i="1"/>
  <c r="G40" i="1"/>
  <c r="G14" i="1"/>
  <c r="G147" i="1"/>
  <c r="D99" i="1"/>
  <c r="D90" i="1"/>
  <c r="D151" i="1"/>
  <c r="D17" i="1"/>
  <c r="D129" i="1"/>
  <c r="D25" i="1"/>
  <c r="D11" i="1"/>
  <c r="D106" i="1"/>
  <c r="D108" i="1"/>
  <c r="D135" i="1"/>
  <c r="D136" i="1"/>
  <c r="D94" i="1"/>
  <c r="D143" i="1"/>
  <c r="D148" i="1"/>
  <c r="D149" i="1"/>
  <c r="D146" i="1"/>
  <c r="D19" i="1"/>
  <c r="D30" i="1"/>
  <c r="D60" i="1"/>
  <c r="D122" i="1"/>
  <c r="D97" i="1"/>
  <c r="D93" i="1"/>
  <c r="D89" i="1"/>
  <c r="D152" i="1"/>
  <c r="D132" i="1"/>
  <c r="D21" i="1"/>
  <c r="D36" i="1"/>
  <c r="D38" i="1"/>
  <c r="D86" i="1"/>
  <c r="D98" i="1"/>
  <c r="D22" i="1"/>
  <c r="D77" i="1"/>
  <c r="D61" i="1"/>
  <c r="D126" i="1"/>
  <c r="D78" i="1"/>
  <c r="D52" i="1"/>
  <c r="D153" i="1"/>
  <c r="D130" i="1"/>
  <c r="D63" i="1"/>
  <c r="D43" i="1"/>
  <c r="D111" i="1"/>
  <c r="D105" i="1"/>
  <c r="D144" i="1"/>
  <c r="D92" i="1"/>
  <c r="D154" i="1"/>
  <c r="D155" i="1"/>
  <c r="D156" i="1"/>
  <c r="D46" i="1"/>
  <c r="D95" i="1"/>
  <c r="D123" i="1"/>
  <c r="D107" i="1"/>
  <c r="D157" i="1"/>
  <c r="D158" i="1"/>
  <c r="D116" i="1"/>
  <c r="D159" i="1"/>
  <c r="D12" i="1"/>
  <c r="D3" i="1"/>
  <c r="D29" i="1"/>
  <c r="D62" i="1"/>
  <c r="D67" i="1"/>
  <c r="D50" i="1"/>
  <c r="D32" i="1"/>
  <c r="D48" i="1"/>
  <c r="D26" i="1"/>
  <c r="D113" i="1"/>
  <c r="D139" i="1"/>
  <c r="D140" i="1"/>
  <c r="D82" i="1"/>
  <c r="D51" i="1"/>
  <c r="D37" i="1"/>
  <c r="D27" i="1"/>
  <c r="D102" i="1"/>
  <c r="D10" i="1"/>
  <c r="D59" i="1"/>
  <c r="D16" i="1"/>
  <c r="D160" i="1"/>
  <c r="D45" i="1"/>
  <c r="D33" i="1"/>
  <c r="D69" i="1"/>
  <c r="D100" i="1"/>
  <c r="D2" i="1"/>
  <c r="D57" i="1"/>
  <c r="D53" i="1"/>
  <c r="D161" i="1"/>
  <c r="D28" i="1"/>
  <c r="D103" i="1"/>
  <c r="D118" i="1"/>
  <c r="D23" i="1"/>
  <c r="D133" i="1"/>
  <c r="D72" i="1"/>
  <c r="D76" i="1"/>
  <c r="D112" i="1"/>
  <c r="D145" i="1"/>
  <c r="D127" i="1"/>
  <c r="D131" i="1"/>
  <c r="D74" i="1"/>
  <c r="D79" i="1"/>
  <c r="D83" i="1"/>
  <c r="D150" i="1"/>
  <c r="D66" i="1"/>
  <c r="D88" i="1"/>
  <c r="D85" i="1"/>
  <c r="D73" i="1"/>
  <c r="D8" i="1"/>
  <c r="D35" i="1"/>
  <c r="D101" i="1"/>
  <c r="D109" i="1"/>
  <c r="D104" i="1"/>
  <c r="D70" i="1"/>
  <c r="D24" i="1"/>
  <c r="D15" i="1"/>
  <c r="D91" i="1"/>
  <c r="D9" i="1"/>
  <c r="D71" i="1"/>
  <c r="D162" i="1"/>
  <c r="D163" i="1"/>
  <c r="D115" i="1"/>
  <c r="D58" i="1"/>
  <c r="D6" i="1"/>
  <c r="D138" i="1"/>
  <c r="D34" i="1"/>
  <c r="D7" i="1"/>
  <c r="D44" i="1"/>
  <c r="D20" i="1"/>
  <c r="D96" i="1"/>
  <c r="D49" i="1"/>
  <c r="D41" i="1"/>
  <c r="D47" i="1"/>
  <c r="D110" i="1"/>
  <c r="D64" i="1"/>
  <c r="D80" i="1"/>
  <c r="D65" i="1"/>
  <c r="D134" i="1"/>
  <c r="D4" i="1"/>
  <c r="D42" i="1"/>
  <c r="D5" i="1"/>
  <c r="D119" i="1"/>
  <c r="D54" i="1"/>
  <c r="D75" i="1"/>
  <c r="D31" i="1"/>
  <c r="D18" i="1"/>
  <c r="D141" i="1"/>
  <c r="D55" i="1"/>
  <c r="D137" i="1"/>
  <c r="D117" i="1"/>
  <c r="D124" i="1"/>
  <c r="D128" i="1"/>
  <c r="D125" i="1"/>
  <c r="D114" i="1"/>
  <c r="D121" i="1"/>
  <c r="D164" i="1"/>
  <c r="D87" i="1"/>
  <c r="D120" i="1"/>
  <c r="D68" i="1"/>
  <c r="D39" i="1"/>
  <c r="D56" i="1"/>
  <c r="D142" i="1"/>
  <c r="D13" i="1"/>
  <c r="D84" i="1"/>
  <c r="D81" i="1"/>
  <c r="D40" i="1"/>
  <c r="D14" i="1"/>
  <c r="D147" i="1"/>
  <c r="K52" i="1" l="1"/>
  <c r="K152" i="1"/>
  <c r="H149" i="1"/>
  <c r="E118" i="1"/>
  <c r="E128" i="1"/>
  <c r="H138" i="1"/>
  <c r="E27" i="1"/>
  <c r="H6" i="1"/>
  <c r="H118" i="1"/>
  <c r="H89" i="1"/>
  <c r="H147" i="1"/>
  <c r="H128" i="1"/>
  <c r="H80" i="1"/>
  <c r="H162" i="1"/>
  <c r="H150" i="1"/>
  <c r="H53" i="1"/>
  <c r="H140" i="1"/>
  <c r="H107" i="1"/>
  <c r="H78" i="1"/>
  <c r="H60" i="1"/>
  <c r="H151" i="1"/>
  <c r="H164" i="1"/>
  <c r="H11" i="1"/>
  <c r="H84" i="1"/>
  <c r="H55" i="1"/>
  <c r="H41" i="1"/>
  <c r="H15" i="1"/>
  <c r="H131" i="1"/>
  <c r="H69" i="1"/>
  <c r="H48" i="1"/>
  <c r="H156" i="1"/>
  <c r="H22" i="1"/>
  <c r="H42" i="1"/>
  <c r="H73" i="1"/>
  <c r="H27" i="1"/>
  <c r="H159" i="1"/>
  <c r="H63" i="1"/>
  <c r="H17" i="1"/>
  <c r="H39" i="1"/>
  <c r="H75" i="1"/>
  <c r="H44" i="1"/>
  <c r="H109" i="1"/>
  <c r="H76" i="1"/>
  <c r="H16" i="1"/>
  <c r="H62" i="1"/>
  <c r="H144" i="1"/>
  <c r="H36" i="1"/>
  <c r="H136" i="1"/>
  <c r="K99" i="1"/>
  <c r="K87" i="1"/>
  <c r="K5" i="1"/>
  <c r="K138" i="1"/>
  <c r="K8" i="1"/>
  <c r="K23" i="1"/>
  <c r="K102" i="1"/>
  <c r="K12" i="1"/>
  <c r="L12" i="1" s="1"/>
  <c r="K43" i="1"/>
  <c r="K17" i="1"/>
  <c r="K94" i="1"/>
  <c r="K125" i="1"/>
  <c r="K65" i="1"/>
  <c r="K163" i="1"/>
  <c r="K66" i="1"/>
  <c r="K161" i="1"/>
  <c r="K82" i="1"/>
  <c r="K157" i="1"/>
  <c r="K122" i="1"/>
  <c r="K81" i="1"/>
  <c r="K137" i="1"/>
  <c r="K47" i="1"/>
  <c r="K91" i="1"/>
  <c r="K74" i="1"/>
  <c r="L74" i="1" s="1"/>
  <c r="K100" i="1"/>
  <c r="K26" i="1"/>
  <c r="K46" i="1"/>
  <c r="L46" i="1" s="1"/>
  <c r="K77" i="1"/>
  <c r="L77" i="1" s="1"/>
  <c r="K146" i="1"/>
  <c r="K56" i="1"/>
  <c r="K31" i="1"/>
  <c r="K20" i="1"/>
  <c r="L20" i="1" s="1"/>
  <c r="K104" i="1"/>
  <c r="K112" i="1"/>
  <c r="K160" i="1"/>
  <c r="K67" i="1"/>
  <c r="K92" i="1"/>
  <c r="K38" i="1"/>
  <c r="K106" i="1"/>
  <c r="E15" i="1"/>
  <c r="H14" i="1"/>
  <c r="H13" i="1"/>
  <c r="H68" i="1"/>
  <c r="H121" i="1"/>
  <c r="H124" i="1"/>
  <c r="H141" i="1"/>
  <c r="H54" i="1"/>
  <c r="H4" i="1"/>
  <c r="H64" i="1"/>
  <c r="H49" i="1"/>
  <c r="H7" i="1"/>
  <c r="H58" i="1"/>
  <c r="H71" i="1"/>
  <c r="H24" i="1"/>
  <c r="H101" i="1"/>
  <c r="H85" i="1"/>
  <c r="H83" i="1"/>
  <c r="H127" i="1"/>
  <c r="H72" i="1"/>
  <c r="H103" i="1"/>
  <c r="H57" i="1"/>
  <c r="H33" i="1"/>
  <c r="H59" i="1"/>
  <c r="H37" i="1"/>
  <c r="H139" i="1"/>
  <c r="H32" i="1"/>
  <c r="H29" i="1"/>
  <c r="H116" i="1"/>
  <c r="H123" i="1"/>
  <c r="H155" i="1"/>
  <c r="H105" i="1"/>
  <c r="H130" i="1"/>
  <c r="H126" i="1"/>
  <c r="H98" i="1"/>
  <c r="H21" i="1"/>
  <c r="H93" i="1"/>
  <c r="H30" i="1"/>
  <c r="H148" i="1"/>
  <c r="H135" i="1"/>
  <c r="H25" i="1"/>
  <c r="H90" i="1"/>
  <c r="K147" i="1"/>
  <c r="K84" i="1"/>
  <c r="K39" i="1"/>
  <c r="L39" i="1" s="1"/>
  <c r="K164" i="1"/>
  <c r="K128" i="1"/>
  <c r="K55" i="1"/>
  <c r="L55" i="1" s="1"/>
  <c r="K75" i="1"/>
  <c r="L75" i="1" s="1"/>
  <c r="K42" i="1"/>
  <c r="K80" i="1"/>
  <c r="K41" i="1"/>
  <c r="K44" i="1"/>
  <c r="K6" i="1"/>
  <c r="K162" i="1"/>
  <c r="K15" i="1"/>
  <c r="K109" i="1"/>
  <c r="K73" i="1"/>
  <c r="K150" i="1"/>
  <c r="K131" i="1"/>
  <c r="K76" i="1"/>
  <c r="K118" i="1"/>
  <c r="K53" i="1"/>
  <c r="K69" i="1"/>
  <c r="L69" i="1" s="1"/>
  <c r="K16" i="1"/>
  <c r="L16" i="1" s="1"/>
  <c r="K27" i="1"/>
  <c r="K140" i="1"/>
  <c r="K48" i="1"/>
  <c r="K62" i="1"/>
  <c r="L62" i="1" s="1"/>
  <c r="K159" i="1"/>
  <c r="K107" i="1"/>
  <c r="K156" i="1"/>
  <c r="K144" i="1"/>
  <c r="K63" i="1"/>
  <c r="K78" i="1"/>
  <c r="K22" i="1"/>
  <c r="K36" i="1"/>
  <c r="L36" i="1" s="1"/>
  <c r="K89" i="1"/>
  <c r="K60" i="1"/>
  <c r="K149" i="1"/>
  <c r="K136" i="1"/>
  <c r="K11" i="1"/>
  <c r="K151" i="1"/>
  <c r="E84" i="1"/>
  <c r="H40" i="1"/>
  <c r="H142" i="1"/>
  <c r="H120" i="1"/>
  <c r="H114" i="1"/>
  <c r="H117" i="1"/>
  <c r="H18" i="1"/>
  <c r="H119" i="1"/>
  <c r="H134" i="1"/>
  <c r="H110" i="1"/>
  <c r="H96" i="1"/>
  <c r="H34" i="1"/>
  <c r="H115" i="1"/>
  <c r="H9" i="1"/>
  <c r="H70" i="1"/>
  <c r="H35" i="1"/>
  <c r="H88" i="1"/>
  <c r="H79" i="1"/>
  <c r="H145" i="1"/>
  <c r="H133" i="1"/>
  <c r="H28" i="1"/>
  <c r="H2" i="1"/>
  <c r="H45" i="1"/>
  <c r="H10" i="1"/>
  <c r="H51" i="1"/>
  <c r="H113" i="1"/>
  <c r="H50" i="1"/>
  <c r="H3" i="1"/>
  <c r="H158" i="1"/>
  <c r="H95" i="1"/>
  <c r="H154" i="1"/>
  <c r="H111" i="1"/>
  <c r="H153" i="1"/>
  <c r="H61" i="1"/>
  <c r="H86" i="1"/>
  <c r="H132" i="1"/>
  <c r="H97" i="1"/>
  <c r="H19" i="1"/>
  <c r="H143" i="1"/>
  <c r="H108" i="1"/>
  <c r="H129" i="1"/>
  <c r="H99" i="1"/>
  <c r="K14" i="1"/>
  <c r="K13" i="1"/>
  <c r="K68" i="1"/>
  <c r="L68" i="1" s="1"/>
  <c r="K121" i="1"/>
  <c r="K124" i="1"/>
  <c r="K141" i="1"/>
  <c r="K54" i="1"/>
  <c r="K4" i="1"/>
  <c r="L4" i="1" s="1"/>
  <c r="K64" i="1"/>
  <c r="K49" i="1"/>
  <c r="K7" i="1"/>
  <c r="L7" i="1" s="1"/>
  <c r="K58" i="1"/>
  <c r="L58" i="1" s="1"/>
  <c r="K71" i="1"/>
  <c r="K24" i="1"/>
  <c r="K101" i="1"/>
  <c r="K85" i="1"/>
  <c r="K83" i="1"/>
  <c r="K127" i="1"/>
  <c r="K72" i="1"/>
  <c r="L72" i="1" s="1"/>
  <c r="K103" i="1"/>
  <c r="K57" i="1"/>
  <c r="K33" i="1"/>
  <c r="K59" i="1"/>
  <c r="L59" i="1" s="1"/>
  <c r="K37" i="1"/>
  <c r="L37" i="1" s="1"/>
  <c r="K139" i="1"/>
  <c r="K32" i="1"/>
  <c r="K29" i="1"/>
  <c r="L29" i="1" s="1"/>
  <c r="K116" i="1"/>
  <c r="K123" i="1"/>
  <c r="K155" i="1"/>
  <c r="K105" i="1"/>
  <c r="K130" i="1"/>
  <c r="K126" i="1"/>
  <c r="K98" i="1"/>
  <c r="K21" i="1"/>
  <c r="L21" i="1" s="1"/>
  <c r="K93" i="1"/>
  <c r="K30" i="1"/>
  <c r="K148" i="1"/>
  <c r="K135" i="1"/>
  <c r="K25" i="1"/>
  <c r="K90" i="1"/>
  <c r="H81" i="1"/>
  <c r="H56" i="1"/>
  <c r="H87" i="1"/>
  <c r="H125" i="1"/>
  <c r="H137" i="1"/>
  <c r="H31" i="1"/>
  <c r="H5" i="1"/>
  <c r="H65" i="1"/>
  <c r="H47" i="1"/>
  <c r="H20" i="1"/>
  <c r="H163" i="1"/>
  <c r="H91" i="1"/>
  <c r="H104" i="1"/>
  <c r="H8" i="1"/>
  <c r="H66" i="1"/>
  <c r="H74" i="1"/>
  <c r="H112" i="1"/>
  <c r="H23" i="1"/>
  <c r="H161" i="1"/>
  <c r="H100" i="1"/>
  <c r="H160" i="1"/>
  <c r="H102" i="1"/>
  <c r="H82" i="1"/>
  <c r="H26" i="1"/>
  <c r="H67" i="1"/>
  <c r="H12" i="1"/>
  <c r="H157" i="1"/>
  <c r="H46" i="1"/>
  <c r="H92" i="1"/>
  <c r="H43" i="1"/>
  <c r="H52" i="1"/>
  <c r="H77" i="1"/>
  <c r="H38" i="1"/>
  <c r="H152" i="1"/>
  <c r="H122" i="1"/>
  <c r="H146" i="1"/>
  <c r="H94" i="1"/>
  <c r="H106" i="1"/>
  <c r="K40" i="1"/>
  <c r="L40" i="1" s="1"/>
  <c r="K142" i="1"/>
  <c r="K120" i="1"/>
  <c r="K114" i="1"/>
  <c r="K117" i="1"/>
  <c r="K18" i="1"/>
  <c r="K119" i="1"/>
  <c r="K134" i="1"/>
  <c r="K110" i="1"/>
  <c r="K96" i="1"/>
  <c r="K34" i="1"/>
  <c r="K115" i="1"/>
  <c r="K9" i="1"/>
  <c r="L9" i="1" s="1"/>
  <c r="K70" i="1"/>
  <c r="K35" i="1"/>
  <c r="K88" i="1"/>
  <c r="L88" i="1" s="1"/>
  <c r="K79" i="1"/>
  <c r="K145" i="1"/>
  <c r="K133" i="1"/>
  <c r="K28" i="1"/>
  <c r="L28" i="1" s="1"/>
  <c r="K2" i="1"/>
  <c r="L2" i="1" s="1"/>
  <c r="K45" i="1"/>
  <c r="K10" i="1"/>
  <c r="K51" i="1"/>
  <c r="L51" i="1" s="1"/>
  <c r="K113" i="1"/>
  <c r="K50" i="1"/>
  <c r="K3" i="1"/>
  <c r="K158" i="1"/>
  <c r="K95" i="1"/>
  <c r="L95" i="1" s="1"/>
  <c r="K154" i="1"/>
  <c r="K111" i="1"/>
  <c r="K153" i="1"/>
  <c r="K61" i="1"/>
  <c r="L61" i="1" s="1"/>
  <c r="K86" i="1"/>
  <c r="K132" i="1"/>
  <c r="K97" i="1"/>
  <c r="K19" i="1"/>
  <c r="L19" i="1" s="1"/>
  <c r="K143" i="1"/>
  <c r="K108" i="1"/>
  <c r="K129" i="1"/>
  <c r="E80" i="1"/>
  <c r="E147" i="1"/>
  <c r="E55" i="1"/>
  <c r="E41" i="1"/>
  <c r="E109" i="1"/>
  <c r="E151" i="1"/>
  <c r="E39" i="1"/>
  <c r="E75" i="1"/>
  <c r="E44" i="1"/>
  <c r="E73" i="1"/>
  <c r="E164" i="1"/>
  <c r="E42" i="1"/>
  <c r="E6" i="1"/>
  <c r="E162" i="1"/>
  <c r="E150" i="1"/>
  <c r="E53" i="1"/>
  <c r="E140" i="1"/>
  <c r="E131" i="1"/>
  <c r="E69" i="1"/>
  <c r="E48" i="1"/>
  <c r="E76" i="1"/>
  <c r="E16" i="1"/>
  <c r="E62" i="1"/>
  <c r="E14" i="1"/>
  <c r="E13" i="1"/>
  <c r="E68" i="1"/>
  <c r="E121" i="1"/>
  <c r="E124" i="1"/>
  <c r="E141" i="1"/>
  <c r="E54" i="1"/>
  <c r="E4" i="1"/>
  <c r="E64" i="1"/>
  <c r="E49" i="1"/>
  <c r="E7" i="1"/>
  <c r="E58" i="1"/>
  <c r="E71" i="1"/>
  <c r="E24" i="1"/>
  <c r="E101" i="1"/>
  <c r="E85" i="1"/>
  <c r="E83" i="1"/>
  <c r="E127" i="1"/>
  <c r="E72" i="1"/>
  <c r="E103" i="1"/>
  <c r="E57" i="1"/>
  <c r="E33" i="1"/>
  <c r="E59" i="1"/>
  <c r="E37" i="1"/>
  <c r="E139" i="1"/>
  <c r="E32" i="1"/>
  <c r="E29" i="1"/>
  <c r="E116" i="1"/>
  <c r="E123" i="1"/>
  <c r="E155" i="1"/>
  <c r="E105" i="1"/>
  <c r="E130" i="1"/>
  <c r="E126" i="1"/>
  <c r="E98" i="1"/>
  <c r="E21" i="1"/>
  <c r="E93" i="1"/>
  <c r="E19" i="1"/>
  <c r="E94" i="1"/>
  <c r="E129" i="1"/>
  <c r="E159" i="1"/>
  <c r="E156" i="1"/>
  <c r="E63" i="1"/>
  <c r="E22" i="1"/>
  <c r="E36" i="1"/>
  <c r="E60" i="1"/>
  <c r="E143" i="1"/>
  <c r="E106" i="1"/>
  <c r="E40" i="1"/>
  <c r="E142" i="1"/>
  <c r="E120" i="1"/>
  <c r="E114" i="1"/>
  <c r="E117" i="1"/>
  <c r="E18" i="1"/>
  <c r="E119" i="1"/>
  <c r="E134" i="1"/>
  <c r="E110" i="1"/>
  <c r="E96" i="1"/>
  <c r="E34" i="1"/>
  <c r="E115" i="1"/>
  <c r="E9" i="1"/>
  <c r="E70" i="1"/>
  <c r="E35" i="1"/>
  <c r="E88" i="1"/>
  <c r="E79" i="1"/>
  <c r="E145" i="1"/>
  <c r="E133" i="1"/>
  <c r="E28" i="1"/>
  <c r="E2" i="1"/>
  <c r="E45" i="1"/>
  <c r="E10" i="1"/>
  <c r="E51" i="1"/>
  <c r="E113" i="1"/>
  <c r="E50" i="1"/>
  <c r="E3" i="1"/>
  <c r="E158" i="1"/>
  <c r="E95" i="1"/>
  <c r="E154" i="1"/>
  <c r="E111" i="1"/>
  <c r="E153" i="1"/>
  <c r="E61" i="1"/>
  <c r="E86" i="1"/>
  <c r="E132" i="1"/>
  <c r="E97" i="1"/>
  <c r="E146" i="1"/>
  <c r="E136" i="1"/>
  <c r="E17" i="1"/>
  <c r="E107" i="1"/>
  <c r="E144" i="1"/>
  <c r="E78" i="1"/>
  <c r="E89" i="1"/>
  <c r="E81" i="1"/>
  <c r="E56" i="1"/>
  <c r="E87" i="1"/>
  <c r="E125" i="1"/>
  <c r="E137" i="1"/>
  <c r="E31" i="1"/>
  <c r="E5" i="1"/>
  <c r="E65" i="1"/>
  <c r="E47" i="1"/>
  <c r="E20" i="1"/>
  <c r="E138" i="1"/>
  <c r="E163" i="1"/>
  <c r="E91" i="1"/>
  <c r="E104" i="1"/>
  <c r="E8" i="1"/>
  <c r="E66" i="1"/>
  <c r="E74" i="1"/>
  <c r="E112" i="1"/>
  <c r="E23" i="1"/>
  <c r="E161" i="1"/>
  <c r="E100" i="1"/>
  <c r="E160" i="1"/>
  <c r="E102" i="1"/>
  <c r="E82" i="1"/>
  <c r="E26" i="1"/>
  <c r="E67" i="1"/>
  <c r="E12" i="1"/>
  <c r="E157" i="1"/>
  <c r="E46" i="1"/>
  <c r="E92" i="1"/>
  <c r="E43" i="1"/>
  <c r="E52" i="1"/>
  <c r="E77" i="1"/>
  <c r="E38" i="1"/>
  <c r="E152" i="1"/>
  <c r="E122" i="1"/>
  <c r="E149" i="1"/>
  <c r="E108" i="1"/>
  <c r="E99" i="1"/>
  <c r="E11" i="1"/>
  <c r="E30" i="1"/>
  <c r="E148" i="1"/>
  <c r="E135" i="1"/>
  <c r="E25" i="1"/>
  <c r="E90" i="1"/>
  <c r="L25" i="1" l="1"/>
  <c r="L76" i="1"/>
  <c r="L44" i="1"/>
  <c r="L22" i="1"/>
  <c r="M22" i="1" s="1"/>
  <c r="L41" i="1"/>
  <c r="L31" i="1"/>
  <c r="L5" i="1"/>
  <c r="M5" i="1" s="1"/>
  <c r="L10" i="1"/>
  <c r="M10" i="1" s="1"/>
  <c r="L35" i="1"/>
  <c r="L32" i="1"/>
  <c r="L24" i="1"/>
  <c r="L49" i="1"/>
  <c r="M49" i="1" s="1"/>
  <c r="L13" i="1"/>
  <c r="L78" i="1"/>
  <c r="L53" i="1"/>
  <c r="L80" i="1"/>
  <c r="M80" i="1" s="1"/>
  <c r="L38" i="1"/>
  <c r="L56" i="1"/>
  <c r="L26" i="1"/>
  <c r="L47" i="1"/>
  <c r="M47" i="1" s="1"/>
  <c r="L17" i="1"/>
  <c r="L23" i="1"/>
  <c r="M23" i="1" s="1"/>
  <c r="L48" i="1"/>
  <c r="M48" i="1" s="1"/>
  <c r="L15" i="1"/>
  <c r="M15" i="1" s="1"/>
  <c r="L66" i="1"/>
  <c r="L3" i="1"/>
  <c r="M21" i="1" s="1"/>
  <c r="L34" i="1"/>
  <c r="L33" i="1"/>
  <c r="M33" i="1" s="1"/>
  <c r="L86" i="1"/>
  <c r="L50" i="1"/>
  <c r="L45" i="1"/>
  <c r="L70" i="1"/>
  <c r="M70" i="1" s="1"/>
  <c r="L18" i="1"/>
  <c r="L90" i="1"/>
  <c r="M90" i="1" s="1"/>
  <c r="L30" i="1"/>
  <c r="M30" i="1" s="1"/>
  <c r="L57" i="1"/>
  <c r="M57" i="1" s="1"/>
  <c r="L83" i="1"/>
  <c r="L14" i="1"/>
  <c r="L11" i="1"/>
  <c r="L63" i="1"/>
  <c r="L27" i="1"/>
  <c r="L73" i="1"/>
  <c r="L6" i="1"/>
  <c r="M6" i="1" s="1"/>
  <c r="L42" i="1"/>
  <c r="M42" i="1" s="1"/>
  <c r="L92" i="1"/>
  <c r="L82" i="1"/>
  <c r="L65" i="1"/>
  <c r="M65" i="1" s="1"/>
  <c r="L43" i="1"/>
  <c r="M43" i="1" s="1"/>
  <c r="L8" i="1"/>
  <c r="M92" i="1"/>
  <c r="M83" i="1"/>
  <c r="M45" i="1"/>
  <c r="M29" i="1"/>
  <c r="M34" i="1"/>
  <c r="M53" i="1"/>
  <c r="M13" i="1"/>
  <c r="M55" i="1"/>
  <c r="M3" i="1"/>
  <c r="M36" i="1"/>
  <c r="M88" i="1"/>
  <c r="M44" i="1"/>
  <c r="M32" i="1"/>
  <c r="M69" i="1"/>
  <c r="M76" i="1"/>
  <c r="M63" i="1"/>
  <c r="M40" i="1"/>
  <c r="M35" i="1"/>
  <c r="M50" i="1"/>
  <c r="M2" i="1"/>
  <c r="M75" i="1" l="1"/>
  <c r="M31" i="1"/>
  <c r="M24" i="1"/>
  <c r="M56" i="1"/>
  <c r="M41" i="1"/>
  <c r="M9" i="1"/>
  <c r="M26" i="1"/>
  <c r="M74" i="1"/>
  <c r="M20" i="1"/>
  <c r="M73" i="1"/>
  <c r="M59" i="1"/>
  <c r="M68" i="1"/>
  <c r="M4" i="1"/>
  <c r="M86" i="1"/>
  <c r="M14" i="1"/>
  <c r="M11" i="1"/>
  <c r="M72" i="1"/>
  <c r="M82" i="1"/>
  <c r="M95" i="1"/>
  <c r="M58" i="1"/>
  <c r="M77" i="1"/>
  <c r="M17" i="1"/>
  <c r="M25" i="1"/>
  <c r="M78" i="1"/>
  <c r="M7" i="1"/>
  <c r="M18" i="1"/>
  <c r="M28" i="1"/>
  <c r="M38" i="1"/>
  <c r="M37" i="1"/>
  <c r="M46" i="1"/>
  <c r="M27" i="1"/>
  <c r="M39" i="1"/>
  <c r="M16" i="1"/>
  <c r="M66" i="1"/>
  <c r="M61" i="1"/>
  <c r="M8" i="1"/>
  <c r="M19" i="1"/>
  <c r="M62" i="1"/>
  <c r="M51" i="1"/>
  <c r="M12" i="1"/>
</calcChain>
</file>

<file path=xl/sharedStrings.xml><?xml version="1.0" encoding="utf-8"?>
<sst xmlns="http://schemas.openxmlformats.org/spreadsheetml/2006/main" count="344" uniqueCount="170">
  <si>
    <t>J.ARUVARIVAN</t>
  </si>
  <si>
    <t>P.DANUSHANTHAN</t>
  </si>
  <si>
    <t>K.PAKALARASAN</t>
  </si>
  <si>
    <t>K.THIKALINY</t>
  </si>
  <si>
    <t>S.RAKSANA</t>
  </si>
  <si>
    <t>M.THUVANAGY</t>
  </si>
  <si>
    <t>V.POKACHCHELVY</t>
  </si>
  <si>
    <t>P.THANUYA</t>
  </si>
  <si>
    <t>S.MOKANARUBY</t>
  </si>
  <si>
    <t>S.AARANYA</t>
  </si>
  <si>
    <t>S.THILAXSIKA</t>
  </si>
  <si>
    <t>K.MOHAN</t>
  </si>
  <si>
    <t>S.THAMILINY</t>
  </si>
  <si>
    <t>K.KAMALINY</t>
  </si>
  <si>
    <t>U.THIVANA</t>
  </si>
  <si>
    <t>H.VALARMOLY</t>
  </si>
  <si>
    <t>R.AATHITHTHAN</t>
  </si>
  <si>
    <t>J.THAMILAVAN</t>
  </si>
  <si>
    <t>J.KAYURAN</t>
  </si>
  <si>
    <t>J.GAJARUBAN</t>
  </si>
  <si>
    <t>S.SOBIKAN</t>
  </si>
  <si>
    <t>J.SANKITHAN</t>
  </si>
  <si>
    <t>K.KAYALVILY</t>
  </si>
  <si>
    <t>S.THARANYA</t>
  </si>
  <si>
    <t>R.BHAVANA</t>
  </si>
  <si>
    <t>M.THAMILNILA</t>
  </si>
  <si>
    <t>S.SANKEERTHTHANA</t>
  </si>
  <si>
    <t>A.ANITHTHAN</t>
  </si>
  <si>
    <t>T.VAISHALI</t>
  </si>
  <si>
    <t>S.NITHANTHAKI</t>
  </si>
  <si>
    <t>V.THIVIPPIRIYAN</t>
  </si>
  <si>
    <t>A.YALINIYAN</t>
  </si>
  <si>
    <t>R.ANAPAYAN</t>
  </si>
  <si>
    <t>P.THAMILMATHY</t>
  </si>
  <si>
    <t>V.JANARTHANAN</t>
  </si>
  <si>
    <t>K.THANUJAN</t>
  </si>
  <si>
    <t>S.KAYALVILY</t>
  </si>
  <si>
    <t>U.PIRAINILAVAN</t>
  </si>
  <si>
    <t>R.ELAKKIYA</t>
  </si>
  <si>
    <t>S.TISANI</t>
  </si>
  <si>
    <t>G.PAVANAN</t>
  </si>
  <si>
    <t>J.JAVUSAN</t>
  </si>
  <si>
    <t>K.KENUJAN</t>
  </si>
  <si>
    <t>M.KESIKAN</t>
  </si>
  <si>
    <t>K.KALAIPIRIYAN</t>
  </si>
  <si>
    <t>S.AARANIYAN</t>
  </si>
  <si>
    <t>S.VATHANAKEETHAN</t>
  </si>
  <si>
    <t>A.JENOSAR</t>
  </si>
  <si>
    <t>P.LUVISANTH</t>
  </si>
  <si>
    <t>S.SIVAKOPAN</t>
  </si>
  <si>
    <t>K.THANARUPINI</t>
  </si>
  <si>
    <t>M.HARSHANA</t>
  </si>
  <si>
    <t>K.OVIJA</t>
  </si>
  <si>
    <t>S.SANOJA</t>
  </si>
  <si>
    <t>S.KAYALVILI</t>
  </si>
  <si>
    <t>D.THAGSANA</t>
  </si>
  <si>
    <t>A.DANCIYA</t>
  </si>
  <si>
    <t>K.SABTHAMY</t>
  </si>
  <si>
    <t>J.MITHUNA</t>
  </si>
  <si>
    <t>S.ABASHAYINI</t>
  </si>
  <si>
    <t>R.EZHITHUSA</t>
  </si>
  <si>
    <t>P.SANKAVI</t>
  </si>
  <si>
    <t>S.POORVIKA</t>
  </si>
  <si>
    <t>S.ANANTHAPAIRAVI</t>
  </si>
  <si>
    <t>T.THENARUVI</t>
  </si>
  <si>
    <t>S.PAVINAYA</t>
  </si>
  <si>
    <t>T.KULASIKA</t>
  </si>
  <si>
    <t>J.JATHUSA</t>
  </si>
  <si>
    <t>K.KELARASI</t>
  </si>
  <si>
    <t>P.ARIVAN</t>
  </si>
  <si>
    <t>P.EZHILVANAN</t>
  </si>
  <si>
    <t>G.KALAIMATHY</t>
  </si>
  <si>
    <t>A.ALAKUNILA</t>
  </si>
  <si>
    <t>K.THULASIKA</t>
  </si>
  <si>
    <t>T.THUSANA</t>
  </si>
  <si>
    <t>P.NIVETHINY</t>
  </si>
  <si>
    <t>S.SARUJA</t>
  </si>
  <si>
    <t>D.DENISTA</t>
  </si>
  <si>
    <t>S.DILAKSHAN</t>
  </si>
  <si>
    <t>K.KIRUSHATHUYAN</t>
  </si>
  <si>
    <t>G.MUKILAVAN</t>
  </si>
  <si>
    <t>M.KOPINA</t>
  </si>
  <si>
    <t>J.DIVONCY</t>
  </si>
  <si>
    <t>V.JATHURANKAN</t>
  </si>
  <si>
    <t>J.RAKSIYA</t>
  </si>
  <si>
    <t>S.ILANILA</t>
  </si>
  <si>
    <t>N.TAMILNILA</t>
  </si>
  <si>
    <t>A.KABILSHAN</t>
  </si>
  <si>
    <t>R.YAALINI</t>
  </si>
  <si>
    <t>A.DINOJA</t>
  </si>
  <si>
    <t>V.NILAVINI</t>
  </si>
  <si>
    <t>P.THARMIKA</t>
  </si>
  <si>
    <t>S.MABISAKINI</t>
  </si>
  <si>
    <t>M.MATHURA</t>
  </si>
  <si>
    <t>V.VIPISANA</t>
  </si>
  <si>
    <t>S.SUPEETSAN</t>
  </si>
  <si>
    <t>R.KANALVENTHAN</t>
  </si>
  <si>
    <t>T.ARULINI</t>
  </si>
  <si>
    <t>S.MATHINILA</t>
  </si>
  <si>
    <t>P.KAYALINI</t>
  </si>
  <si>
    <t>T.KALAINILA</t>
  </si>
  <si>
    <t>A.AFLA</t>
  </si>
  <si>
    <t>A.MARYNIXANA</t>
  </si>
  <si>
    <t>Y.MATHURA</t>
  </si>
  <si>
    <t>X.THRISHNATH</t>
  </si>
  <si>
    <t>A.ABINAYA</t>
  </si>
  <si>
    <t>R.RILA</t>
  </si>
  <si>
    <t>M.MATHUSIKA</t>
  </si>
  <si>
    <t>P.THUVARAGAN</t>
  </si>
  <si>
    <t>K.SANKAVI</t>
  </si>
  <si>
    <t>V.SUVARAKAN</t>
  </si>
  <si>
    <t>J.ELANKEERAN</t>
  </si>
  <si>
    <t>C.ASHWINTH</t>
  </si>
  <si>
    <t>N.KALIMANAN</t>
  </si>
  <si>
    <t>T.VIPUSAJAN</t>
  </si>
  <si>
    <t>R.NILAVARASI</t>
  </si>
  <si>
    <t>G.DOSHIGA</t>
  </si>
  <si>
    <t>J.VITHUSA</t>
  </si>
  <si>
    <t>N.VITHTHAKI</t>
  </si>
  <si>
    <t>J.SANJIKA</t>
  </si>
  <si>
    <t>S.SAMBAVI</t>
  </si>
  <si>
    <t>J.KESAWARTHINI</t>
  </si>
  <si>
    <t>R.NUTHALVILY</t>
  </si>
  <si>
    <t>V.KOBISANA</t>
  </si>
  <si>
    <t>M.KIRUTHIKA</t>
  </si>
  <si>
    <t>V.SAMTHIYA</t>
  </si>
  <si>
    <t>K.NANTHUSAN</t>
  </si>
  <si>
    <t>V.LOGANA</t>
  </si>
  <si>
    <t>K.KAVIJALAKAN</t>
  </si>
  <si>
    <t>M.THULASIKAN</t>
  </si>
  <si>
    <t>M.JASOMY</t>
  </si>
  <si>
    <t>T.LISANI</t>
  </si>
  <si>
    <t>K.PAVANUSA</t>
  </si>
  <si>
    <t>T.LOGIKA</t>
  </si>
  <si>
    <t>N.THAMILVILY</t>
  </si>
  <si>
    <t>S.THANSSURABI</t>
  </si>
  <si>
    <t>V.THENUKA</t>
  </si>
  <si>
    <t>A.AKSHAYA</t>
  </si>
  <si>
    <t>R.AKALVILY</t>
  </si>
  <si>
    <t>M.THARANKINY</t>
  </si>
  <si>
    <t>N.KIRUSHAYINY</t>
  </si>
  <si>
    <t>R.KIRUTHIKA</t>
  </si>
  <si>
    <t>S.VASIKARAN</t>
  </si>
  <si>
    <t>T.NARUNILA</t>
  </si>
  <si>
    <t>L.AKSHAYA</t>
  </si>
  <si>
    <t>J.THARMASEELAN</t>
  </si>
  <si>
    <t>P.THARANIKA</t>
  </si>
  <si>
    <t>M.USHA</t>
  </si>
  <si>
    <t>K.PAVETHIKA</t>
  </si>
  <si>
    <t>INDEX NO</t>
  </si>
  <si>
    <t>NAME</t>
  </si>
  <si>
    <t>R.PRIYANKAN</t>
  </si>
  <si>
    <t>S.KOVARTHTHANAN</t>
  </si>
  <si>
    <t>S.KOKULAPPRIYA</t>
  </si>
  <si>
    <t>S.SARANYA</t>
  </si>
  <si>
    <t>S.DINOSIKAN</t>
  </si>
  <si>
    <t>R.PAVITHTHIRAN</t>
  </si>
  <si>
    <t>N.KANIKKA</t>
  </si>
  <si>
    <t>A.ARUMUKAI</t>
  </si>
  <si>
    <t>R.KAMSHANA</t>
  </si>
  <si>
    <t>BIO</t>
  </si>
  <si>
    <t>GRADE</t>
  </si>
  <si>
    <t>Z</t>
  </si>
  <si>
    <t>PHY</t>
  </si>
  <si>
    <t>CHE</t>
  </si>
  <si>
    <t>V.YALINY</t>
  </si>
  <si>
    <t>N.AKALYA</t>
  </si>
  <si>
    <t>Z.Average</t>
  </si>
  <si>
    <t>Rank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</si>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</sst>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left"/>
    </xf>
    <xf numFmtId="0" fontId="0" fillId="2" borderId="0" xfId="0" applyFill="1"/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4"/>
  <sheetViews>
    <sheetView tabSelected="1" topLeftCell="A115" workbookViewId="0">
      <selection activeCell="Q123" sqref="Q123"/>
    </sheetView>
  </sheetViews>
  <sheetFormatPr defaultRowHeight="15" x14ac:dyDescent="0.25"/>
  <cols>
    <col min="1" max="1" width="26.85546875" bestFit="1" customWidth="1"/>
    <col min="2" max="2" width="15.42578125" style="1" bestFit="1" customWidth="1"/>
    <col min="5" max="5" width="9.140625" style="5"/>
    <col min="11" max="11" width="9.140625" style="5"/>
    <col min="12" max="12" width="9.85546875" bestFit="1" customWidth="1"/>
  </cols>
  <sheetData>
    <row r="1" spans="1:19" ht="21" x14ac:dyDescent="0.35">
      <c r="A1" s="3" t="s">
        <v>150</v>
      </c>
      <c r="B1" s="3" t="s">
        <v>149</v>
      </c>
      <c r="C1" s="9" t="s">
        <v>160</v>
      </c>
      <c r="D1" s="9" t="s">
        <v>161</v>
      </c>
      <c r="E1" s="10" t="s">
        <v>162</v>
      </c>
      <c r="F1" s="9" t="s">
        <v>163</v>
      </c>
      <c r="G1" s="9" t="s">
        <v>161</v>
      </c>
      <c r="H1" s="9" t="s">
        <v>162</v>
      </c>
      <c r="I1" s="9" t="s">
        <v>164</v>
      </c>
      <c r="J1" s="9" t="s">
        <v>161</v>
      </c>
      <c r="K1" s="10" t="s">
        <v>162</v>
      </c>
      <c r="L1" s="9" t="s">
        <v>167</v>
      </c>
      <c r="M1" s="9" t="s">
        <v>168</v>
      </c>
    </row>
    <row r="2" spans="1:19" x14ac:dyDescent="0.25">
      <c r="A2" t="s">
        <v>75</v>
      </c>
      <c r="B2" s="1">
        <v>2007259</v>
      </c>
      <c r="C2">
        <v>66</v>
      </c>
      <c r="D2" t="str">
        <f t="shared" ref="D2:D33" si="0">IF(C2="Absent","AB",IF(C2&gt;=67,"A",IF(C2&gt;=58,"B",IF(C2&gt;=43,"C",IF(C2&gt;=20,"S","W")))))</f>
        <v>B</v>
      </c>
      <c r="E2" s="5">
        <f t="shared" ref="E2:E33" si="1">(C2-$Q$12)/$Q$13</f>
        <v>2.2733602214906696</v>
      </c>
      <c r="F2">
        <v>60</v>
      </c>
      <c r="G2" t="str">
        <f t="shared" ref="G2:G33" si="2">IF(F2="Absent","AB",IF(F2&gt;=67,"A",IF(F2&gt;=58,"B",IF(F2&gt;=43,"C",IF(F2&gt;=20,"S","W")))))</f>
        <v>B</v>
      </c>
      <c r="H2" s="5">
        <f t="shared" ref="H2:H33" si="3">(F2-$R$12)/$R$13</f>
        <v>2.3837941734419412</v>
      </c>
      <c r="I2">
        <v>78</v>
      </c>
      <c r="J2" t="str">
        <f t="shared" ref="J2:J33" si="4">IF(I2="Absent","AB",IF(I2&gt;=67,"A",IF(I2&gt;=58,"B",IF(I2&gt;=43,"C",IF(I2&gt;=20,"S","W")))))</f>
        <v>A</v>
      </c>
      <c r="K2" s="5">
        <f t="shared" ref="K2:K33" si="5">(I2-$S$12)/$S$13</f>
        <v>3.5938634236968259</v>
      </c>
      <c r="L2" s="5">
        <f t="shared" ref="L2:L33" si="6">AVERAGE(E2,H2,K2)</f>
        <v>2.7503392728764791</v>
      </c>
      <c r="M2">
        <f t="shared" ref="M2:M33" si="7">RANK(L2,$L$2:$L$164)</f>
        <v>1</v>
      </c>
    </row>
    <row r="3" spans="1:19" x14ac:dyDescent="0.25">
      <c r="A3" t="s">
        <v>51</v>
      </c>
      <c r="B3" s="1">
        <v>2007211</v>
      </c>
      <c r="C3">
        <v>55</v>
      </c>
      <c r="D3" t="str">
        <f t="shared" si="0"/>
        <v>C</v>
      </c>
      <c r="E3" s="5">
        <f t="shared" si="1"/>
        <v>1.6037142748613333</v>
      </c>
      <c r="F3">
        <v>75</v>
      </c>
      <c r="G3" t="str">
        <f t="shared" si="2"/>
        <v>A</v>
      </c>
      <c r="H3" s="5">
        <f t="shared" si="3"/>
        <v>3.3324232024239637</v>
      </c>
      <c r="I3">
        <v>67</v>
      </c>
      <c r="J3" t="str">
        <f t="shared" si="4"/>
        <v>A</v>
      </c>
      <c r="K3" s="5">
        <f t="shared" si="5"/>
        <v>2.8937550883330267</v>
      </c>
      <c r="L3" s="5">
        <f t="shared" si="6"/>
        <v>2.6099641885394411</v>
      </c>
      <c r="M3">
        <f t="shared" si="7"/>
        <v>2</v>
      </c>
    </row>
    <row r="4" spans="1:19" x14ac:dyDescent="0.25">
      <c r="A4" t="s">
        <v>126</v>
      </c>
      <c r="B4" s="1">
        <v>2007358</v>
      </c>
      <c r="C4">
        <v>74</v>
      </c>
      <c r="D4" t="str">
        <f t="shared" si="0"/>
        <v>A</v>
      </c>
      <c r="E4" s="5">
        <f t="shared" si="1"/>
        <v>2.7603754554029143</v>
      </c>
      <c r="F4">
        <v>47</v>
      </c>
      <c r="G4" t="str">
        <f t="shared" si="2"/>
        <v>C</v>
      </c>
      <c r="H4" s="5">
        <f t="shared" si="3"/>
        <v>1.5616490149908553</v>
      </c>
      <c r="I4">
        <v>60</v>
      </c>
      <c r="J4" t="str">
        <f t="shared" si="4"/>
        <v>B</v>
      </c>
      <c r="K4" s="5">
        <f t="shared" si="5"/>
        <v>2.4482316021924269</v>
      </c>
      <c r="L4" s="5">
        <f t="shared" si="6"/>
        <v>2.2567520241953987</v>
      </c>
      <c r="M4">
        <f t="shared" si="7"/>
        <v>3</v>
      </c>
    </row>
    <row r="5" spans="1:19" x14ac:dyDescent="0.25">
      <c r="A5" t="s">
        <v>128</v>
      </c>
      <c r="B5" s="1">
        <v>2007361</v>
      </c>
      <c r="C5">
        <v>72</v>
      </c>
      <c r="D5" t="str">
        <f t="shared" si="0"/>
        <v>A</v>
      </c>
      <c r="E5" s="5">
        <f t="shared" si="1"/>
        <v>2.6386216469248533</v>
      </c>
      <c r="F5">
        <v>50</v>
      </c>
      <c r="G5" t="str">
        <f t="shared" si="2"/>
        <v>C</v>
      </c>
      <c r="H5" s="5">
        <f t="shared" si="3"/>
        <v>1.7513748207872597</v>
      </c>
      <c r="I5">
        <v>50</v>
      </c>
      <c r="J5" t="str">
        <f t="shared" si="4"/>
        <v>C</v>
      </c>
      <c r="K5" s="5">
        <f t="shared" si="5"/>
        <v>1.8117694791344277</v>
      </c>
      <c r="L5" s="5">
        <f t="shared" si="6"/>
        <v>2.0672553156155136</v>
      </c>
      <c r="M5">
        <f t="shared" si="7"/>
        <v>4</v>
      </c>
    </row>
    <row r="6" spans="1:19" x14ac:dyDescent="0.25">
      <c r="A6" t="s">
        <v>111</v>
      </c>
      <c r="B6" s="1">
        <v>2007342</v>
      </c>
      <c r="C6">
        <v>57</v>
      </c>
      <c r="D6" t="str">
        <f t="shared" si="0"/>
        <v>C</v>
      </c>
      <c r="E6" s="5">
        <f t="shared" si="1"/>
        <v>1.7254680833393945</v>
      </c>
      <c r="F6">
        <v>51</v>
      </c>
      <c r="G6" t="str">
        <f t="shared" si="2"/>
        <v>C</v>
      </c>
      <c r="H6" s="5">
        <f t="shared" si="3"/>
        <v>1.814616756052728</v>
      </c>
      <c r="I6">
        <v>48</v>
      </c>
      <c r="J6" t="str">
        <f t="shared" si="4"/>
        <v>C</v>
      </c>
      <c r="K6" s="5">
        <f t="shared" si="5"/>
        <v>1.6844770545228278</v>
      </c>
      <c r="L6" s="5">
        <f t="shared" si="6"/>
        <v>1.7415206313049836</v>
      </c>
      <c r="M6">
        <f t="shared" si="7"/>
        <v>5</v>
      </c>
    </row>
    <row r="7" spans="1:19" x14ac:dyDescent="0.25">
      <c r="A7" t="s">
        <v>114</v>
      </c>
      <c r="B7" s="1">
        <v>2007345</v>
      </c>
      <c r="C7">
        <v>46</v>
      </c>
      <c r="D7" t="str">
        <f t="shared" si="0"/>
        <v>C</v>
      </c>
      <c r="E7" s="5">
        <f t="shared" si="1"/>
        <v>1.0558221367100582</v>
      </c>
      <c r="F7">
        <v>46</v>
      </c>
      <c r="G7" t="str">
        <f t="shared" si="2"/>
        <v>C</v>
      </c>
      <c r="H7" s="5">
        <f t="shared" si="3"/>
        <v>1.498407079725387</v>
      </c>
      <c r="I7">
        <v>58</v>
      </c>
      <c r="J7" t="str">
        <f t="shared" si="4"/>
        <v>B</v>
      </c>
      <c r="K7" s="5">
        <f t="shared" si="5"/>
        <v>2.320939177580827</v>
      </c>
      <c r="L7" s="5">
        <f t="shared" si="6"/>
        <v>1.6250561313387575</v>
      </c>
      <c r="M7">
        <f t="shared" si="7"/>
        <v>6</v>
      </c>
    </row>
    <row r="8" spans="1:19" x14ac:dyDescent="0.25">
      <c r="A8" t="s">
        <v>96</v>
      </c>
      <c r="B8" s="2">
        <v>2007322</v>
      </c>
      <c r="C8">
        <v>51</v>
      </c>
      <c r="D8" t="str">
        <f t="shared" si="0"/>
        <v>C</v>
      </c>
      <c r="E8" s="5">
        <f t="shared" si="1"/>
        <v>1.360206657905211</v>
      </c>
      <c r="F8">
        <v>43</v>
      </c>
      <c r="G8" t="str">
        <f t="shared" si="2"/>
        <v>C</v>
      </c>
      <c r="H8" s="5">
        <f t="shared" si="3"/>
        <v>1.3086812739289826</v>
      </c>
      <c r="I8">
        <v>56</v>
      </c>
      <c r="J8" t="str">
        <f t="shared" si="4"/>
        <v>C</v>
      </c>
      <c r="K8" s="5">
        <f t="shared" si="5"/>
        <v>2.1936467529692272</v>
      </c>
      <c r="L8" s="5">
        <f t="shared" si="6"/>
        <v>1.6208448949344738</v>
      </c>
      <c r="M8">
        <f t="shared" si="7"/>
        <v>7</v>
      </c>
    </row>
    <row r="9" spans="1:19" x14ac:dyDescent="0.25">
      <c r="A9" t="s">
        <v>105</v>
      </c>
      <c r="B9" s="2">
        <v>2007332</v>
      </c>
      <c r="C9">
        <v>53</v>
      </c>
      <c r="D9" t="str">
        <f t="shared" si="0"/>
        <v>C</v>
      </c>
      <c r="E9" s="5">
        <f t="shared" si="1"/>
        <v>1.4819604663832722</v>
      </c>
      <c r="F9">
        <v>47</v>
      </c>
      <c r="G9" t="str">
        <f t="shared" si="2"/>
        <v>C</v>
      </c>
      <c r="H9" s="5">
        <f t="shared" si="3"/>
        <v>1.5616490149908553</v>
      </c>
      <c r="I9">
        <v>46</v>
      </c>
      <c r="J9" t="str">
        <f t="shared" si="4"/>
        <v>C</v>
      </c>
      <c r="K9" s="5">
        <f t="shared" si="5"/>
        <v>1.5571846299112277</v>
      </c>
      <c r="L9" s="5">
        <f t="shared" si="6"/>
        <v>1.5335980370951183</v>
      </c>
      <c r="M9">
        <f t="shared" si="7"/>
        <v>8</v>
      </c>
    </row>
    <row r="10" spans="1:19" x14ac:dyDescent="0.25">
      <c r="A10" t="s">
        <v>67</v>
      </c>
      <c r="B10" s="1">
        <v>2007227</v>
      </c>
      <c r="C10">
        <v>51</v>
      </c>
      <c r="D10" t="str">
        <f t="shared" si="0"/>
        <v>C</v>
      </c>
      <c r="E10" s="5">
        <f t="shared" si="1"/>
        <v>1.360206657905211</v>
      </c>
      <c r="F10">
        <v>46</v>
      </c>
      <c r="G10" t="str">
        <f t="shared" si="2"/>
        <v>C</v>
      </c>
      <c r="H10" s="5">
        <f t="shared" si="3"/>
        <v>1.498407079725387</v>
      </c>
      <c r="I10">
        <v>45</v>
      </c>
      <c r="J10" t="str">
        <f t="shared" si="4"/>
        <v>C</v>
      </c>
      <c r="K10" s="5">
        <f t="shared" si="5"/>
        <v>1.4935384176054278</v>
      </c>
      <c r="L10" s="5">
        <f t="shared" si="6"/>
        <v>1.4507173850786754</v>
      </c>
      <c r="M10">
        <f t="shared" si="7"/>
        <v>9</v>
      </c>
    </row>
    <row r="11" spans="1:19" x14ac:dyDescent="0.25">
      <c r="A11" t="s">
        <v>4</v>
      </c>
      <c r="B11" s="1">
        <v>2007123</v>
      </c>
      <c r="C11">
        <v>54</v>
      </c>
      <c r="D11" t="str">
        <f t="shared" si="0"/>
        <v>C</v>
      </c>
      <c r="E11" s="5">
        <f t="shared" si="1"/>
        <v>1.5428373706223029</v>
      </c>
      <c r="F11">
        <v>45</v>
      </c>
      <c r="G11" t="str">
        <f t="shared" si="2"/>
        <v>C</v>
      </c>
      <c r="H11" s="5">
        <f t="shared" si="3"/>
        <v>1.4351651444599189</v>
      </c>
      <c r="I11">
        <v>42</v>
      </c>
      <c r="J11" t="str">
        <f t="shared" si="4"/>
        <v>S</v>
      </c>
      <c r="K11" s="5">
        <f t="shared" si="5"/>
        <v>1.3025997806880281</v>
      </c>
      <c r="L11" s="5">
        <f t="shared" si="6"/>
        <v>1.4268674319234167</v>
      </c>
      <c r="M11">
        <f t="shared" si="7"/>
        <v>10</v>
      </c>
    </row>
    <row r="12" spans="1:19" x14ac:dyDescent="0.25">
      <c r="A12" t="s">
        <v>50</v>
      </c>
      <c r="B12" s="1">
        <v>2007210</v>
      </c>
      <c r="C12">
        <v>51</v>
      </c>
      <c r="D12" t="str">
        <f t="shared" si="0"/>
        <v>C</v>
      </c>
      <c r="E12" s="5">
        <f t="shared" si="1"/>
        <v>1.360206657905211</v>
      </c>
      <c r="F12">
        <v>51</v>
      </c>
      <c r="G12" t="str">
        <f t="shared" si="2"/>
        <v>C</v>
      </c>
      <c r="H12" s="5">
        <f t="shared" si="3"/>
        <v>1.814616756052728</v>
      </c>
      <c r="I12">
        <v>37</v>
      </c>
      <c r="J12" t="str">
        <f t="shared" si="4"/>
        <v>S</v>
      </c>
      <c r="K12" s="5">
        <f t="shared" si="5"/>
        <v>0.98436871915902846</v>
      </c>
      <c r="L12" s="5">
        <f t="shared" si="6"/>
        <v>1.3863973777056557</v>
      </c>
      <c r="M12">
        <f t="shared" si="7"/>
        <v>11</v>
      </c>
      <c r="Q12">
        <f>AVERAGE(C2:C164)</f>
        <v>28.656441717791409</v>
      </c>
      <c r="R12">
        <f>AVERAGE(F2:F164)</f>
        <v>22.30674846625767</v>
      </c>
      <c r="S12">
        <f>AVERAGE(I2:I164)</f>
        <v>21.533742331288344</v>
      </c>
    </row>
    <row r="13" spans="1:19" x14ac:dyDescent="0.25">
      <c r="A13" t="s">
        <v>151</v>
      </c>
      <c r="B13" s="1">
        <v>2007425</v>
      </c>
      <c r="C13">
        <v>42</v>
      </c>
      <c r="D13" t="str">
        <f t="shared" si="0"/>
        <v>S</v>
      </c>
      <c r="E13" s="5">
        <f t="shared" si="1"/>
        <v>0.81231451975393576</v>
      </c>
      <c r="F13">
        <v>45</v>
      </c>
      <c r="G13" t="str">
        <f t="shared" si="2"/>
        <v>C</v>
      </c>
      <c r="H13" s="5">
        <f t="shared" si="3"/>
        <v>1.4351651444599189</v>
      </c>
      <c r="I13">
        <v>48</v>
      </c>
      <c r="J13" t="str">
        <f t="shared" si="4"/>
        <v>C</v>
      </c>
      <c r="K13" s="5">
        <f t="shared" si="5"/>
        <v>1.6844770545228278</v>
      </c>
      <c r="L13" s="5">
        <f t="shared" si="6"/>
        <v>1.3106522395788942</v>
      </c>
      <c r="M13">
        <f t="shared" si="7"/>
        <v>13</v>
      </c>
      <c r="Q13">
        <f>_xlfn.STDEV.P(C2:C164)</f>
        <v>16.426590880402564</v>
      </c>
      <c r="R13">
        <f>_xlfn.STDEV.P(F2:F164)</f>
        <v>15.812292837060401</v>
      </c>
      <c r="S13">
        <f>_xlfn.STDEV.P(I2:I164)</f>
        <v>15.711854072247316</v>
      </c>
    </row>
    <row r="14" spans="1:19" x14ac:dyDescent="0.25">
      <c r="A14" t="s">
        <v>148</v>
      </c>
      <c r="B14" s="1">
        <v>2007429</v>
      </c>
      <c r="C14">
        <v>47</v>
      </c>
      <c r="D14" t="str">
        <f t="shared" si="0"/>
        <v>C</v>
      </c>
      <c r="E14" s="5">
        <f t="shared" si="1"/>
        <v>1.1166990409490887</v>
      </c>
      <c r="F14">
        <v>44</v>
      </c>
      <c r="G14" t="str">
        <f t="shared" si="2"/>
        <v>C</v>
      </c>
      <c r="H14" s="5">
        <f t="shared" si="3"/>
        <v>1.3719232091944507</v>
      </c>
      <c r="I14">
        <v>43</v>
      </c>
      <c r="J14" t="str">
        <f t="shared" si="4"/>
        <v>C</v>
      </c>
      <c r="K14" s="5">
        <f t="shared" si="5"/>
        <v>1.366245992993828</v>
      </c>
      <c r="L14" s="5">
        <f t="shared" si="6"/>
        <v>1.284956081045789</v>
      </c>
      <c r="M14">
        <f t="shared" si="7"/>
        <v>14</v>
      </c>
    </row>
    <row r="15" spans="1:19" x14ac:dyDescent="0.25">
      <c r="A15" t="s">
        <v>103</v>
      </c>
      <c r="B15" s="2">
        <v>2007330</v>
      </c>
      <c r="C15">
        <v>46</v>
      </c>
      <c r="D15" t="str">
        <f t="shared" si="0"/>
        <v>C</v>
      </c>
      <c r="E15" s="5">
        <f t="shared" si="1"/>
        <v>1.0558221367100582</v>
      </c>
      <c r="F15">
        <v>42</v>
      </c>
      <c r="G15" t="str">
        <f t="shared" si="2"/>
        <v>S</v>
      </c>
      <c r="H15" s="5">
        <f t="shared" si="3"/>
        <v>1.2454393386635143</v>
      </c>
      <c r="I15">
        <v>45</v>
      </c>
      <c r="J15" t="str">
        <f t="shared" si="4"/>
        <v>C</v>
      </c>
      <c r="K15" s="5">
        <f t="shared" si="5"/>
        <v>1.4935384176054278</v>
      </c>
      <c r="L15" s="5">
        <f t="shared" si="6"/>
        <v>1.2649332976596668</v>
      </c>
      <c r="M15">
        <f t="shared" si="7"/>
        <v>15</v>
      </c>
      <c r="Q15">
        <v>163</v>
      </c>
    </row>
    <row r="16" spans="1:19" x14ac:dyDescent="0.25">
      <c r="A16" t="s">
        <v>69</v>
      </c>
      <c r="B16" s="1">
        <v>2007252</v>
      </c>
      <c r="C16">
        <v>46</v>
      </c>
      <c r="D16" t="str">
        <f t="shared" si="0"/>
        <v>C</v>
      </c>
      <c r="E16" s="5">
        <f t="shared" si="1"/>
        <v>1.0558221367100582</v>
      </c>
      <c r="F16">
        <v>50</v>
      </c>
      <c r="G16" t="str">
        <f t="shared" si="2"/>
        <v>C</v>
      </c>
      <c r="H16" s="5">
        <f t="shared" si="3"/>
        <v>1.7513748207872597</v>
      </c>
      <c r="I16">
        <v>35</v>
      </c>
      <c r="J16" t="str">
        <f t="shared" si="4"/>
        <v>S</v>
      </c>
      <c r="K16" s="5">
        <f t="shared" si="5"/>
        <v>0.85707629454742851</v>
      </c>
      <c r="L16" s="5">
        <f t="shared" si="6"/>
        <v>1.2214244173482489</v>
      </c>
      <c r="M16">
        <f t="shared" si="7"/>
        <v>16</v>
      </c>
    </row>
    <row r="17" spans="1:13" x14ac:dyDescent="0.25">
      <c r="A17" t="s">
        <v>1</v>
      </c>
      <c r="B17" s="1">
        <v>2007120</v>
      </c>
      <c r="C17">
        <v>51</v>
      </c>
      <c r="D17" t="str">
        <f t="shared" si="0"/>
        <v>C</v>
      </c>
      <c r="E17" s="5">
        <f t="shared" si="1"/>
        <v>1.360206657905211</v>
      </c>
      <c r="F17">
        <v>50</v>
      </c>
      <c r="G17" t="str">
        <f t="shared" si="2"/>
        <v>C</v>
      </c>
      <c r="H17" s="5">
        <f t="shared" si="3"/>
        <v>1.7513748207872597</v>
      </c>
      <c r="I17">
        <v>27</v>
      </c>
      <c r="J17" t="str">
        <f t="shared" si="4"/>
        <v>S</v>
      </c>
      <c r="K17" s="5">
        <f t="shared" si="5"/>
        <v>0.34790659610102903</v>
      </c>
      <c r="L17" s="5">
        <f t="shared" si="6"/>
        <v>1.1531626915978332</v>
      </c>
      <c r="M17">
        <f t="shared" si="7"/>
        <v>17</v>
      </c>
    </row>
    <row r="18" spans="1:13" x14ac:dyDescent="0.25">
      <c r="A18" t="s">
        <v>133</v>
      </c>
      <c r="B18" s="1">
        <v>2007366</v>
      </c>
      <c r="C18">
        <v>39</v>
      </c>
      <c r="D18" t="str">
        <f t="shared" si="0"/>
        <v>S</v>
      </c>
      <c r="E18" s="5">
        <f t="shared" si="1"/>
        <v>0.62968380703684401</v>
      </c>
      <c r="F18">
        <v>47</v>
      </c>
      <c r="G18" t="str">
        <f t="shared" si="2"/>
        <v>C</v>
      </c>
      <c r="H18" s="5">
        <f t="shared" si="3"/>
        <v>1.5616490149908553</v>
      </c>
      <c r="I18">
        <v>41</v>
      </c>
      <c r="J18" t="str">
        <f t="shared" si="4"/>
        <v>S</v>
      </c>
      <c r="K18" s="5">
        <f t="shared" si="5"/>
        <v>1.2389535683822281</v>
      </c>
      <c r="L18" s="5">
        <f t="shared" si="6"/>
        <v>1.143428796803309</v>
      </c>
      <c r="M18">
        <f t="shared" si="7"/>
        <v>18</v>
      </c>
    </row>
    <row r="19" spans="1:13" x14ac:dyDescent="0.25">
      <c r="A19" t="s">
        <v>14</v>
      </c>
      <c r="B19" s="1">
        <v>2007133</v>
      </c>
      <c r="C19">
        <v>52</v>
      </c>
      <c r="D19" t="str">
        <f t="shared" si="0"/>
        <v>C</v>
      </c>
      <c r="E19" s="5">
        <f t="shared" si="1"/>
        <v>1.4210835621442417</v>
      </c>
      <c r="F19">
        <v>39</v>
      </c>
      <c r="G19" t="str">
        <f t="shared" si="2"/>
        <v>S</v>
      </c>
      <c r="H19" s="5">
        <f t="shared" si="3"/>
        <v>1.0557135328671099</v>
      </c>
      <c r="I19">
        <v>46</v>
      </c>
      <c r="J19" t="str">
        <f t="shared" si="4"/>
        <v>C</v>
      </c>
      <c r="K19" s="5">
        <f t="shared" si="5"/>
        <v>1.5571846299112277</v>
      </c>
      <c r="L19" s="5">
        <f t="shared" si="6"/>
        <v>1.3446605749741931</v>
      </c>
      <c r="M19">
        <f t="shared" si="7"/>
        <v>12</v>
      </c>
    </row>
    <row r="20" spans="1:13" x14ac:dyDescent="0.25">
      <c r="A20" t="s">
        <v>116</v>
      </c>
      <c r="B20" s="1">
        <v>2007347</v>
      </c>
      <c r="C20">
        <v>53</v>
      </c>
      <c r="D20" t="str">
        <f t="shared" si="0"/>
        <v>C</v>
      </c>
      <c r="E20" s="5">
        <f t="shared" si="1"/>
        <v>1.4819604663832722</v>
      </c>
      <c r="F20">
        <v>32</v>
      </c>
      <c r="G20" t="str">
        <f t="shared" si="2"/>
        <v>S</v>
      </c>
      <c r="H20" s="5">
        <f t="shared" si="3"/>
        <v>0.61301998600883256</v>
      </c>
      <c r="I20">
        <v>40</v>
      </c>
      <c r="J20" t="str">
        <f t="shared" si="4"/>
        <v>S</v>
      </c>
      <c r="K20" s="5">
        <f t="shared" si="5"/>
        <v>1.1753073560764282</v>
      </c>
      <c r="L20" s="5">
        <f t="shared" si="6"/>
        <v>1.0900959361561775</v>
      </c>
      <c r="M20">
        <f t="shared" si="7"/>
        <v>19</v>
      </c>
    </row>
    <row r="21" spans="1:13" x14ac:dyDescent="0.25">
      <c r="A21" t="s">
        <v>23</v>
      </c>
      <c r="B21" s="1">
        <v>2007163</v>
      </c>
      <c r="C21">
        <v>50</v>
      </c>
      <c r="D21" t="str">
        <f t="shared" si="0"/>
        <v>C</v>
      </c>
      <c r="E21" s="5">
        <f t="shared" si="1"/>
        <v>1.2993297536661805</v>
      </c>
      <c r="F21">
        <v>35</v>
      </c>
      <c r="G21" t="str">
        <f t="shared" si="2"/>
        <v>S</v>
      </c>
      <c r="H21" s="5">
        <f t="shared" si="3"/>
        <v>0.80274579180523709</v>
      </c>
      <c r="I21">
        <v>39</v>
      </c>
      <c r="J21" t="str">
        <f t="shared" si="4"/>
        <v>S</v>
      </c>
      <c r="K21" s="5">
        <f t="shared" si="5"/>
        <v>1.1116611437706283</v>
      </c>
      <c r="L21" s="5">
        <f t="shared" si="6"/>
        <v>1.0712455630806819</v>
      </c>
      <c r="M21">
        <f t="shared" si="7"/>
        <v>20</v>
      </c>
    </row>
    <row r="22" spans="1:13" x14ac:dyDescent="0.25">
      <c r="A22" t="s">
        <v>28</v>
      </c>
      <c r="B22" s="1">
        <v>2007168</v>
      </c>
      <c r="C22">
        <v>49</v>
      </c>
      <c r="D22" t="str">
        <f t="shared" si="0"/>
        <v>C</v>
      </c>
      <c r="E22" s="5">
        <f t="shared" si="1"/>
        <v>1.2384528494271498</v>
      </c>
      <c r="F22">
        <v>29</v>
      </c>
      <c r="G22" t="str">
        <f t="shared" si="2"/>
        <v>S</v>
      </c>
      <c r="H22" s="5">
        <f t="shared" si="3"/>
        <v>0.42329418021242804</v>
      </c>
      <c r="I22">
        <v>43</v>
      </c>
      <c r="J22" t="str">
        <f t="shared" si="4"/>
        <v>C</v>
      </c>
      <c r="K22" s="5">
        <f t="shared" si="5"/>
        <v>1.366245992993828</v>
      </c>
      <c r="L22" s="5">
        <f t="shared" si="6"/>
        <v>1.0093310075444686</v>
      </c>
      <c r="M22">
        <f t="shared" si="7"/>
        <v>21</v>
      </c>
    </row>
    <row r="23" spans="1:13" x14ac:dyDescent="0.25">
      <c r="A23" t="s">
        <v>82</v>
      </c>
      <c r="B23" s="1">
        <v>2007281</v>
      </c>
      <c r="C23">
        <v>41</v>
      </c>
      <c r="D23" t="str">
        <f t="shared" si="0"/>
        <v>S</v>
      </c>
      <c r="E23" s="5">
        <f t="shared" si="1"/>
        <v>0.75143761551490518</v>
      </c>
      <c r="F23">
        <v>38</v>
      </c>
      <c r="G23" t="str">
        <f t="shared" si="2"/>
        <v>S</v>
      </c>
      <c r="H23" s="5">
        <f t="shared" si="3"/>
        <v>0.99247159760164161</v>
      </c>
      <c r="I23">
        <v>41</v>
      </c>
      <c r="J23" t="str">
        <f t="shared" si="4"/>
        <v>S</v>
      </c>
      <c r="K23" s="5">
        <f t="shared" si="5"/>
        <v>1.2389535683822281</v>
      </c>
      <c r="L23" s="5">
        <f t="shared" si="6"/>
        <v>0.99428759383292498</v>
      </c>
      <c r="M23">
        <f t="shared" si="7"/>
        <v>22</v>
      </c>
    </row>
    <row r="24" spans="1:13" x14ac:dyDescent="0.25">
      <c r="A24" t="s">
        <v>102</v>
      </c>
      <c r="B24" s="2">
        <v>2007328</v>
      </c>
      <c r="C24">
        <v>48</v>
      </c>
      <c r="D24" t="str">
        <f t="shared" si="0"/>
        <v>C</v>
      </c>
      <c r="E24" s="5">
        <f t="shared" si="1"/>
        <v>1.1775759451881194</v>
      </c>
      <c r="F24">
        <v>33</v>
      </c>
      <c r="G24" t="str">
        <f t="shared" si="2"/>
        <v>S</v>
      </c>
      <c r="H24" s="5">
        <f t="shared" si="3"/>
        <v>0.67626192127430074</v>
      </c>
      <c r="I24">
        <v>39</v>
      </c>
      <c r="J24" t="str">
        <f t="shared" si="4"/>
        <v>S</v>
      </c>
      <c r="K24" s="5">
        <f t="shared" si="5"/>
        <v>1.1116611437706283</v>
      </c>
      <c r="L24" s="5">
        <f t="shared" si="6"/>
        <v>0.9884996700776828</v>
      </c>
      <c r="M24">
        <f t="shared" si="7"/>
        <v>23</v>
      </c>
    </row>
    <row r="25" spans="1:13" x14ac:dyDescent="0.25">
      <c r="A25" t="s">
        <v>3</v>
      </c>
      <c r="B25" s="1">
        <v>2007122</v>
      </c>
      <c r="C25">
        <v>48</v>
      </c>
      <c r="D25" t="str">
        <f t="shared" si="0"/>
        <v>C</v>
      </c>
      <c r="E25" s="5">
        <f t="shared" si="1"/>
        <v>1.1775759451881194</v>
      </c>
      <c r="F25">
        <v>34</v>
      </c>
      <c r="G25" t="str">
        <f t="shared" si="2"/>
        <v>S</v>
      </c>
      <c r="H25" s="5">
        <f t="shared" si="3"/>
        <v>0.73950385653976891</v>
      </c>
      <c r="I25">
        <v>36</v>
      </c>
      <c r="J25" t="str">
        <f t="shared" si="4"/>
        <v>S</v>
      </c>
      <c r="K25" s="5">
        <f t="shared" si="5"/>
        <v>0.92072250685322843</v>
      </c>
      <c r="L25" s="5">
        <f t="shared" si="6"/>
        <v>0.94593410286037216</v>
      </c>
      <c r="M25">
        <f t="shared" si="7"/>
        <v>25</v>
      </c>
    </row>
    <row r="26" spans="1:13" x14ac:dyDescent="0.25">
      <c r="A26" t="s">
        <v>58</v>
      </c>
      <c r="B26" s="1">
        <v>2007218</v>
      </c>
      <c r="C26">
        <v>46</v>
      </c>
      <c r="D26" t="str">
        <f t="shared" si="0"/>
        <v>C</v>
      </c>
      <c r="E26" s="5">
        <f t="shared" si="1"/>
        <v>1.0558221367100582</v>
      </c>
      <c r="F26">
        <v>44</v>
      </c>
      <c r="G26" t="str">
        <f t="shared" si="2"/>
        <v>C</v>
      </c>
      <c r="H26" s="5">
        <f t="shared" si="3"/>
        <v>1.3719232091944507</v>
      </c>
      <c r="I26">
        <v>28</v>
      </c>
      <c r="J26" t="str">
        <f t="shared" si="4"/>
        <v>S</v>
      </c>
      <c r="K26" s="5">
        <f t="shared" si="5"/>
        <v>0.41155280840682901</v>
      </c>
      <c r="L26" s="5">
        <f t="shared" si="6"/>
        <v>0.94643271810377927</v>
      </c>
      <c r="M26">
        <f t="shared" si="7"/>
        <v>24</v>
      </c>
    </row>
    <row r="27" spans="1:13" x14ac:dyDescent="0.25">
      <c r="A27" t="s">
        <v>65</v>
      </c>
      <c r="B27" s="1">
        <v>2007225</v>
      </c>
      <c r="C27">
        <v>46</v>
      </c>
      <c r="D27" t="str">
        <f t="shared" si="0"/>
        <v>C</v>
      </c>
      <c r="E27" s="5">
        <f t="shared" si="1"/>
        <v>1.0558221367100582</v>
      </c>
      <c r="F27">
        <v>38</v>
      </c>
      <c r="G27" t="str">
        <f t="shared" si="2"/>
        <v>S</v>
      </c>
      <c r="H27" s="5">
        <f t="shared" si="3"/>
        <v>0.99247159760164161</v>
      </c>
      <c r="I27">
        <v>33</v>
      </c>
      <c r="J27" t="str">
        <f t="shared" si="4"/>
        <v>S</v>
      </c>
      <c r="K27" s="5">
        <f t="shared" si="5"/>
        <v>0.72978386993582867</v>
      </c>
      <c r="L27" s="5">
        <f t="shared" si="6"/>
        <v>0.92602586808250942</v>
      </c>
      <c r="M27">
        <f t="shared" si="7"/>
        <v>26</v>
      </c>
    </row>
    <row r="28" spans="1:13" x14ac:dyDescent="0.25">
      <c r="A28" t="s">
        <v>79</v>
      </c>
      <c r="B28" s="1">
        <v>2007267</v>
      </c>
      <c r="C28">
        <v>32</v>
      </c>
      <c r="D28" t="str">
        <f t="shared" si="0"/>
        <v>S</v>
      </c>
      <c r="E28" s="5">
        <f t="shared" si="1"/>
        <v>0.20354547736362996</v>
      </c>
      <c r="F28">
        <v>51</v>
      </c>
      <c r="G28" t="str">
        <f t="shared" si="2"/>
        <v>C</v>
      </c>
      <c r="H28" s="5">
        <f t="shared" si="3"/>
        <v>1.814616756052728</v>
      </c>
      <c r="I28">
        <v>32</v>
      </c>
      <c r="J28" t="str">
        <f t="shared" si="4"/>
        <v>S</v>
      </c>
      <c r="K28" s="5">
        <f t="shared" si="5"/>
        <v>0.66613765763002875</v>
      </c>
      <c r="L28" s="5">
        <f t="shared" si="6"/>
        <v>0.89476663034879556</v>
      </c>
      <c r="M28">
        <f t="shared" si="7"/>
        <v>27</v>
      </c>
    </row>
    <row r="29" spans="1:13" x14ac:dyDescent="0.25">
      <c r="A29" t="s">
        <v>52</v>
      </c>
      <c r="B29" s="1">
        <v>2007212</v>
      </c>
      <c r="C29">
        <v>46</v>
      </c>
      <c r="D29" t="str">
        <f t="shared" si="0"/>
        <v>C</v>
      </c>
      <c r="E29" s="5">
        <f t="shared" si="1"/>
        <v>1.0558221367100582</v>
      </c>
      <c r="F29">
        <v>24</v>
      </c>
      <c r="G29" t="str">
        <f t="shared" si="2"/>
        <v>S</v>
      </c>
      <c r="H29" s="5">
        <f t="shared" si="3"/>
        <v>0.10708450388508717</v>
      </c>
      <c r="I29">
        <v>43</v>
      </c>
      <c r="J29" t="str">
        <f t="shared" si="4"/>
        <v>C</v>
      </c>
      <c r="K29" s="5">
        <f t="shared" si="5"/>
        <v>1.366245992993828</v>
      </c>
      <c r="L29" s="5">
        <f t="shared" si="6"/>
        <v>0.84305087786299104</v>
      </c>
      <c r="M29">
        <f t="shared" si="7"/>
        <v>28</v>
      </c>
    </row>
    <row r="30" spans="1:13" x14ac:dyDescent="0.25">
      <c r="A30" t="s">
        <v>15</v>
      </c>
      <c r="B30" s="1">
        <v>2007134</v>
      </c>
      <c r="C30">
        <v>36</v>
      </c>
      <c r="D30" t="str">
        <f t="shared" si="0"/>
        <v>S</v>
      </c>
      <c r="E30" s="5">
        <f t="shared" si="1"/>
        <v>0.44705309431975232</v>
      </c>
      <c r="F30">
        <v>37</v>
      </c>
      <c r="G30" t="str">
        <f t="shared" si="2"/>
        <v>S</v>
      </c>
      <c r="H30" s="5">
        <f t="shared" si="3"/>
        <v>0.92922966233617343</v>
      </c>
      <c r="I30">
        <v>39</v>
      </c>
      <c r="J30" t="str">
        <f t="shared" si="4"/>
        <v>S</v>
      </c>
      <c r="K30" s="5">
        <f t="shared" si="5"/>
        <v>1.1116611437706283</v>
      </c>
      <c r="L30" s="5">
        <f t="shared" si="6"/>
        <v>0.82931463347551804</v>
      </c>
      <c r="M30">
        <f t="shared" si="7"/>
        <v>29</v>
      </c>
    </row>
    <row r="31" spans="1:13" x14ac:dyDescent="0.25">
      <c r="A31" t="s">
        <v>132</v>
      </c>
      <c r="B31" s="1">
        <v>2007365</v>
      </c>
      <c r="C31">
        <v>58</v>
      </c>
      <c r="D31" t="str">
        <f t="shared" si="0"/>
        <v>B</v>
      </c>
      <c r="E31" s="5">
        <f t="shared" si="1"/>
        <v>1.7863449875784252</v>
      </c>
      <c r="F31">
        <v>28</v>
      </c>
      <c r="G31" t="str">
        <f t="shared" si="2"/>
        <v>S</v>
      </c>
      <c r="H31" s="5">
        <f t="shared" si="3"/>
        <v>0.36005224494695987</v>
      </c>
      <c r="I31">
        <v>26</v>
      </c>
      <c r="J31" t="str">
        <f t="shared" si="4"/>
        <v>S</v>
      </c>
      <c r="K31" s="5">
        <f t="shared" si="5"/>
        <v>0.28426038379522911</v>
      </c>
      <c r="L31" s="5">
        <f t="shared" si="6"/>
        <v>0.81021920544020476</v>
      </c>
      <c r="M31">
        <f t="shared" si="7"/>
        <v>30</v>
      </c>
    </row>
    <row r="32" spans="1:13" x14ac:dyDescent="0.25">
      <c r="A32" t="s">
        <v>56</v>
      </c>
      <c r="B32" s="1">
        <v>2007216</v>
      </c>
      <c r="C32">
        <v>45</v>
      </c>
      <c r="D32" t="str">
        <f t="shared" si="0"/>
        <v>C</v>
      </c>
      <c r="E32" s="5">
        <f t="shared" si="1"/>
        <v>0.99494523247102751</v>
      </c>
      <c r="F32">
        <v>32</v>
      </c>
      <c r="G32" t="str">
        <f t="shared" si="2"/>
        <v>S</v>
      </c>
      <c r="H32" s="5">
        <f t="shared" si="3"/>
        <v>0.61301998600883256</v>
      </c>
      <c r="I32">
        <v>34</v>
      </c>
      <c r="J32" t="str">
        <f t="shared" si="4"/>
        <v>S</v>
      </c>
      <c r="K32" s="5">
        <f t="shared" si="5"/>
        <v>0.79343008224162859</v>
      </c>
      <c r="L32" s="5">
        <f t="shared" si="6"/>
        <v>0.80046510024049622</v>
      </c>
      <c r="M32">
        <f t="shared" si="7"/>
        <v>31</v>
      </c>
    </row>
    <row r="33" spans="1:13" x14ac:dyDescent="0.25">
      <c r="A33" t="s">
        <v>72</v>
      </c>
      <c r="B33" s="1">
        <v>2007256</v>
      </c>
      <c r="C33">
        <v>35</v>
      </c>
      <c r="D33" t="str">
        <f t="shared" si="0"/>
        <v>S</v>
      </c>
      <c r="E33" s="5">
        <f t="shared" si="1"/>
        <v>0.38617619008072174</v>
      </c>
      <c r="F33">
        <v>32</v>
      </c>
      <c r="G33" t="str">
        <f t="shared" si="2"/>
        <v>S</v>
      </c>
      <c r="H33" s="5">
        <f t="shared" si="3"/>
        <v>0.61301998600883256</v>
      </c>
      <c r="I33">
        <v>40</v>
      </c>
      <c r="J33" t="str">
        <f t="shared" si="4"/>
        <v>S</v>
      </c>
      <c r="K33" s="5">
        <f t="shared" si="5"/>
        <v>1.1753073560764282</v>
      </c>
      <c r="L33" s="5">
        <f t="shared" si="6"/>
        <v>0.72483451072199412</v>
      </c>
      <c r="M33">
        <f t="shared" si="7"/>
        <v>32</v>
      </c>
    </row>
    <row r="34" spans="1:13" x14ac:dyDescent="0.25">
      <c r="A34" t="s">
        <v>113</v>
      </c>
      <c r="B34" s="1">
        <v>2007344</v>
      </c>
      <c r="C34">
        <v>38</v>
      </c>
      <c r="D34" t="str">
        <f t="shared" ref="D34:D65" si="8">IF(C34="Absent","AB",IF(C34&gt;=67,"A",IF(C34&gt;=58,"B",IF(C34&gt;=43,"C",IF(C34&gt;=20,"S","W")))))</f>
        <v>S</v>
      </c>
      <c r="E34" s="5">
        <f t="shared" ref="E34:E65" si="9">(C34-$Q$12)/$Q$13</f>
        <v>0.56880690279781343</v>
      </c>
      <c r="F34">
        <v>36</v>
      </c>
      <c r="G34" t="str">
        <f t="shared" ref="G34:G65" si="10">IF(F34="Absent","AB",IF(F34&gt;=67,"A",IF(F34&gt;=58,"B",IF(F34&gt;=43,"C",IF(F34&gt;=20,"S","W")))))</f>
        <v>S</v>
      </c>
      <c r="H34" s="5">
        <f t="shared" ref="H34:H65" si="11">(F34-$R$12)/$R$13</f>
        <v>0.86598772707070526</v>
      </c>
      <c r="I34">
        <v>32</v>
      </c>
      <c r="J34" t="str">
        <f t="shared" ref="J34:J65" si="12">IF(I34="Absent","AB",IF(I34&gt;=67,"A",IF(I34&gt;=58,"B",IF(I34&gt;=43,"C",IF(I34&gt;=20,"S","W")))))</f>
        <v>S</v>
      </c>
      <c r="K34" s="5">
        <f t="shared" ref="K34:K65" si="13">(I34-$S$12)/$S$13</f>
        <v>0.66613765763002875</v>
      </c>
      <c r="L34" s="5">
        <f t="shared" ref="L34:L51" si="14">AVERAGE(E34,H34,K34)</f>
        <v>0.70031076249951585</v>
      </c>
      <c r="M34">
        <f t="shared" ref="M34:M51" si="15">RANK(L34,$L$2:$L$164)</f>
        <v>33</v>
      </c>
    </row>
    <row r="35" spans="1:13" x14ac:dyDescent="0.25">
      <c r="A35" t="s">
        <v>97</v>
      </c>
      <c r="B35" s="2">
        <v>2007323</v>
      </c>
      <c r="C35">
        <v>39</v>
      </c>
      <c r="D35" t="str">
        <f t="shared" si="8"/>
        <v>S</v>
      </c>
      <c r="E35" s="5">
        <f t="shared" si="9"/>
        <v>0.62968380703684401</v>
      </c>
      <c r="F35">
        <v>35</v>
      </c>
      <c r="G35" t="str">
        <f t="shared" si="10"/>
        <v>S</v>
      </c>
      <c r="H35" s="5">
        <f t="shared" si="11"/>
        <v>0.80274579180523709</v>
      </c>
      <c r="I35">
        <v>31</v>
      </c>
      <c r="J35" t="str">
        <f t="shared" si="12"/>
        <v>S</v>
      </c>
      <c r="K35" s="5">
        <f t="shared" si="13"/>
        <v>0.60249144532422882</v>
      </c>
      <c r="L35" s="5">
        <f t="shared" si="14"/>
        <v>0.67830701472210331</v>
      </c>
      <c r="M35">
        <f t="shared" si="15"/>
        <v>34</v>
      </c>
    </row>
    <row r="36" spans="1:13" x14ac:dyDescent="0.25">
      <c r="A36" t="s">
        <v>24</v>
      </c>
      <c r="B36" s="1">
        <v>2007164</v>
      </c>
      <c r="C36">
        <v>45</v>
      </c>
      <c r="D36" t="str">
        <f t="shared" si="8"/>
        <v>C</v>
      </c>
      <c r="E36" s="5">
        <f t="shared" si="9"/>
        <v>0.99494523247102751</v>
      </c>
      <c r="F36">
        <v>27</v>
      </c>
      <c r="G36" t="str">
        <f t="shared" si="10"/>
        <v>S</v>
      </c>
      <c r="H36" s="5">
        <f t="shared" si="11"/>
        <v>0.29681030968149169</v>
      </c>
      <c r="I36">
        <v>31</v>
      </c>
      <c r="J36" t="str">
        <f t="shared" si="12"/>
        <v>S</v>
      </c>
      <c r="K36" s="5">
        <f t="shared" si="13"/>
        <v>0.60249144532422882</v>
      </c>
      <c r="L36" s="5">
        <f t="shared" si="14"/>
        <v>0.63141566249224923</v>
      </c>
      <c r="M36">
        <f t="shared" si="15"/>
        <v>35</v>
      </c>
    </row>
    <row r="37" spans="1:13" x14ac:dyDescent="0.25">
      <c r="A37" t="s">
        <v>64</v>
      </c>
      <c r="B37" s="1">
        <v>2007224</v>
      </c>
      <c r="C37">
        <v>41</v>
      </c>
      <c r="D37" t="str">
        <f t="shared" si="8"/>
        <v>S</v>
      </c>
      <c r="E37" s="5">
        <f t="shared" si="9"/>
        <v>0.75143761551490518</v>
      </c>
      <c r="F37">
        <v>35</v>
      </c>
      <c r="G37" t="str">
        <f t="shared" si="10"/>
        <v>S</v>
      </c>
      <c r="H37" s="5">
        <f t="shared" si="11"/>
        <v>0.80274579180523709</v>
      </c>
      <c r="I37">
        <v>26</v>
      </c>
      <c r="J37" t="str">
        <f t="shared" si="12"/>
        <v>S</v>
      </c>
      <c r="K37" s="5">
        <f t="shared" si="13"/>
        <v>0.28426038379522911</v>
      </c>
      <c r="L37" s="5">
        <f t="shared" si="14"/>
        <v>0.61281459703845709</v>
      </c>
      <c r="M37">
        <f t="shared" si="15"/>
        <v>36</v>
      </c>
    </row>
    <row r="38" spans="1:13" x14ac:dyDescent="0.25">
      <c r="A38" t="s">
        <v>25</v>
      </c>
      <c r="B38" s="1">
        <v>2007165</v>
      </c>
      <c r="C38">
        <v>46</v>
      </c>
      <c r="D38" t="str">
        <f t="shared" si="8"/>
        <v>C</v>
      </c>
      <c r="E38" s="5">
        <f t="shared" si="9"/>
        <v>1.0558221367100582</v>
      </c>
      <c r="F38">
        <v>34</v>
      </c>
      <c r="G38" t="str">
        <f t="shared" si="10"/>
        <v>S</v>
      </c>
      <c r="H38" s="5">
        <f t="shared" si="11"/>
        <v>0.73950385653976891</v>
      </c>
      <c r="I38">
        <v>22</v>
      </c>
      <c r="J38" t="str">
        <f t="shared" si="12"/>
        <v>S</v>
      </c>
      <c r="K38" s="5">
        <f t="shared" si="13"/>
        <v>2.9675534572029361E-2</v>
      </c>
      <c r="L38" s="5">
        <f t="shared" si="14"/>
        <v>0.60833384260728551</v>
      </c>
      <c r="M38">
        <f t="shared" si="15"/>
        <v>37</v>
      </c>
    </row>
    <row r="39" spans="1:13" x14ac:dyDescent="0.25">
      <c r="A39" t="s">
        <v>158</v>
      </c>
      <c r="B39" s="1">
        <v>2007412</v>
      </c>
      <c r="C39">
        <v>38</v>
      </c>
      <c r="D39" t="str">
        <f t="shared" si="8"/>
        <v>S</v>
      </c>
      <c r="E39" s="5">
        <f t="shared" si="9"/>
        <v>0.56880690279781343</v>
      </c>
      <c r="F39">
        <v>32</v>
      </c>
      <c r="G39" t="str">
        <f t="shared" si="10"/>
        <v>S</v>
      </c>
      <c r="H39" s="5">
        <f t="shared" si="11"/>
        <v>0.61301998600883256</v>
      </c>
      <c r="I39">
        <v>31</v>
      </c>
      <c r="J39" t="str">
        <f t="shared" si="12"/>
        <v>S</v>
      </c>
      <c r="K39" s="5">
        <f t="shared" si="13"/>
        <v>0.60249144532422882</v>
      </c>
      <c r="L39" s="5">
        <f t="shared" si="14"/>
        <v>0.59477277804362494</v>
      </c>
      <c r="M39">
        <f t="shared" si="15"/>
        <v>38</v>
      </c>
    </row>
    <row r="40" spans="1:13" x14ac:dyDescent="0.25">
      <c r="A40" t="s">
        <v>61</v>
      </c>
      <c r="B40" s="1">
        <v>2007428</v>
      </c>
      <c r="C40">
        <v>36</v>
      </c>
      <c r="D40" t="str">
        <f t="shared" si="8"/>
        <v>S</v>
      </c>
      <c r="E40" s="5">
        <f t="shared" si="9"/>
        <v>0.44705309431975232</v>
      </c>
      <c r="F40">
        <v>37</v>
      </c>
      <c r="G40" t="str">
        <f t="shared" si="10"/>
        <v>S</v>
      </c>
      <c r="H40" s="5">
        <f t="shared" si="11"/>
        <v>0.92922966233617343</v>
      </c>
      <c r="I40">
        <v>27</v>
      </c>
      <c r="J40" t="str">
        <f t="shared" si="12"/>
        <v>S</v>
      </c>
      <c r="K40" s="5">
        <f t="shared" si="13"/>
        <v>0.34790659610102903</v>
      </c>
      <c r="L40" s="5">
        <f t="shared" si="14"/>
        <v>0.57472978425231824</v>
      </c>
      <c r="M40">
        <f t="shared" si="15"/>
        <v>39</v>
      </c>
    </row>
    <row r="41" spans="1:13" x14ac:dyDescent="0.25">
      <c r="A41" t="s">
        <v>119</v>
      </c>
      <c r="B41" s="1">
        <v>2007350</v>
      </c>
      <c r="C41">
        <v>43</v>
      </c>
      <c r="D41" t="str">
        <f t="shared" si="8"/>
        <v>C</v>
      </c>
      <c r="E41" s="5">
        <f t="shared" si="9"/>
        <v>0.87319142399296634</v>
      </c>
      <c r="F41">
        <v>27</v>
      </c>
      <c r="G41" t="str">
        <f t="shared" si="10"/>
        <v>S</v>
      </c>
      <c r="H41" s="5">
        <f t="shared" si="11"/>
        <v>0.29681030968149169</v>
      </c>
      <c r="I41">
        <v>29</v>
      </c>
      <c r="J41" t="str">
        <f t="shared" si="12"/>
        <v>S</v>
      </c>
      <c r="K41" s="5">
        <f t="shared" si="13"/>
        <v>0.47519902071262893</v>
      </c>
      <c r="L41" s="5">
        <f t="shared" si="14"/>
        <v>0.54840025146236238</v>
      </c>
      <c r="M41">
        <f t="shared" si="15"/>
        <v>40</v>
      </c>
    </row>
    <row r="42" spans="1:13" x14ac:dyDescent="0.25">
      <c r="A42" t="s">
        <v>127</v>
      </c>
      <c r="B42" s="1">
        <v>2007359</v>
      </c>
      <c r="C42">
        <v>49</v>
      </c>
      <c r="D42" t="str">
        <f t="shared" si="8"/>
        <v>C</v>
      </c>
      <c r="E42" s="5">
        <f t="shared" si="9"/>
        <v>1.2384528494271498</v>
      </c>
      <c r="F42">
        <v>24</v>
      </c>
      <c r="G42" t="str">
        <f t="shared" si="10"/>
        <v>S</v>
      </c>
      <c r="H42" s="5">
        <f t="shared" si="11"/>
        <v>0.10708450388508717</v>
      </c>
      <c r="I42">
        <v>25</v>
      </c>
      <c r="J42" t="str">
        <f t="shared" si="12"/>
        <v>S</v>
      </c>
      <c r="K42" s="5">
        <f t="shared" si="13"/>
        <v>0.22061417148942916</v>
      </c>
      <c r="L42" s="5">
        <f t="shared" si="14"/>
        <v>0.5220505082672221</v>
      </c>
      <c r="M42">
        <f t="shared" si="15"/>
        <v>41</v>
      </c>
    </row>
    <row r="43" spans="1:13" x14ac:dyDescent="0.25">
      <c r="A43" t="s">
        <v>37</v>
      </c>
      <c r="B43" s="1">
        <v>2007182</v>
      </c>
      <c r="C43">
        <v>29</v>
      </c>
      <c r="D43" t="str">
        <f t="shared" si="8"/>
        <v>S</v>
      </c>
      <c r="E43" s="5">
        <f t="shared" si="9"/>
        <v>2.0914764646538211E-2</v>
      </c>
      <c r="F43">
        <v>40</v>
      </c>
      <c r="G43" t="str">
        <f t="shared" si="10"/>
        <v>S</v>
      </c>
      <c r="H43" s="5">
        <f t="shared" si="11"/>
        <v>1.118955468132578</v>
      </c>
      <c r="I43">
        <v>28</v>
      </c>
      <c r="J43" t="str">
        <f t="shared" si="12"/>
        <v>S</v>
      </c>
      <c r="K43" s="5">
        <f t="shared" si="13"/>
        <v>0.41155280840682901</v>
      </c>
      <c r="L43" s="5">
        <f t="shared" si="14"/>
        <v>0.5171410137286484</v>
      </c>
      <c r="M43">
        <f t="shared" si="15"/>
        <v>42</v>
      </c>
    </row>
    <row r="44" spans="1:13" x14ac:dyDescent="0.25">
      <c r="A44" t="s">
        <v>115</v>
      </c>
      <c r="B44" s="1">
        <v>2007346</v>
      </c>
      <c r="C44">
        <v>42</v>
      </c>
      <c r="D44" t="str">
        <f t="shared" si="8"/>
        <v>S</v>
      </c>
      <c r="E44" s="5">
        <f t="shared" si="9"/>
        <v>0.81231451975393576</v>
      </c>
      <c r="F44">
        <v>30</v>
      </c>
      <c r="G44" t="str">
        <f t="shared" si="10"/>
        <v>S</v>
      </c>
      <c r="H44" s="5">
        <f t="shared" si="11"/>
        <v>0.48653611547789621</v>
      </c>
      <c r="I44">
        <v>25</v>
      </c>
      <c r="J44" t="str">
        <f t="shared" si="12"/>
        <v>S</v>
      </c>
      <c r="K44" s="5">
        <f t="shared" si="13"/>
        <v>0.22061417148942916</v>
      </c>
      <c r="L44" s="5">
        <f t="shared" si="14"/>
        <v>0.50648826890708698</v>
      </c>
      <c r="M44">
        <f t="shared" si="15"/>
        <v>43</v>
      </c>
    </row>
    <row r="45" spans="1:13" x14ac:dyDescent="0.25">
      <c r="A45" t="s">
        <v>71</v>
      </c>
      <c r="B45" s="1">
        <v>2007255</v>
      </c>
      <c r="C45">
        <v>30</v>
      </c>
      <c r="D45" t="str">
        <f t="shared" si="8"/>
        <v>S</v>
      </c>
      <c r="E45" s="5">
        <f t="shared" si="9"/>
        <v>8.1791668885568797E-2</v>
      </c>
      <c r="F45">
        <v>32</v>
      </c>
      <c r="G45" t="str">
        <f t="shared" si="10"/>
        <v>S</v>
      </c>
      <c r="H45" s="5">
        <f t="shared" si="11"/>
        <v>0.61301998600883256</v>
      </c>
      <c r="I45">
        <v>34</v>
      </c>
      <c r="J45" t="str">
        <f t="shared" si="12"/>
        <v>S</v>
      </c>
      <c r="K45" s="5">
        <f t="shared" si="13"/>
        <v>0.79343008224162859</v>
      </c>
      <c r="L45" s="5">
        <f t="shared" si="14"/>
        <v>0.49608057904534331</v>
      </c>
      <c r="M45">
        <f t="shared" si="15"/>
        <v>44</v>
      </c>
    </row>
    <row r="46" spans="1:13" x14ac:dyDescent="0.25">
      <c r="A46" t="s">
        <v>42</v>
      </c>
      <c r="B46" s="1">
        <v>2007202</v>
      </c>
      <c r="C46">
        <v>33</v>
      </c>
      <c r="D46" t="str">
        <f t="shared" si="8"/>
        <v>S</v>
      </c>
      <c r="E46" s="5">
        <f t="shared" si="9"/>
        <v>0.26442238160266057</v>
      </c>
      <c r="F46">
        <v>31</v>
      </c>
      <c r="G46" t="str">
        <f t="shared" si="10"/>
        <v>S</v>
      </c>
      <c r="H46" s="5">
        <f t="shared" si="11"/>
        <v>0.54977805074336439</v>
      </c>
      <c r="I46">
        <v>32</v>
      </c>
      <c r="J46" t="str">
        <f t="shared" si="12"/>
        <v>S</v>
      </c>
      <c r="K46" s="5">
        <f t="shared" si="13"/>
        <v>0.66613765763002875</v>
      </c>
      <c r="L46" s="5">
        <f t="shared" si="14"/>
        <v>0.49344602999201798</v>
      </c>
      <c r="M46">
        <f t="shared" si="15"/>
        <v>45</v>
      </c>
    </row>
    <row r="47" spans="1:13" x14ac:dyDescent="0.25">
      <c r="A47" t="s">
        <v>120</v>
      </c>
      <c r="B47" s="1">
        <v>2007351</v>
      </c>
      <c r="C47">
        <v>49</v>
      </c>
      <c r="D47" t="str">
        <f t="shared" si="8"/>
        <v>C</v>
      </c>
      <c r="E47" s="5">
        <f t="shared" si="9"/>
        <v>1.2384528494271498</v>
      </c>
      <c r="F47">
        <v>21</v>
      </c>
      <c r="G47" t="str">
        <f t="shared" si="10"/>
        <v>S</v>
      </c>
      <c r="H47" s="5">
        <f t="shared" si="11"/>
        <v>-8.2641301911317369E-2</v>
      </c>
      <c r="I47">
        <v>25</v>
      </c>
      <c r="J47" t="str">
        <f t="shared" si="12"/>
        <v>S</v>
      </c>
      <c r="K47" s="5">
        <f t="shared" si="13"/>
        <v>0.22061417148942916</v>
      </c>
      <c r="L47" s="5">
        <f t="shared" si="14"/>
        <v>0.45880857300175387</v>
      </c>
      <c r="M47">
        <f t="shared" si="15"/>
        <v>46</v>
      </c>
    </row>
    <row r="48" spans="1:13" x14ac:dyDescent="0.25">
      <c r="A48" t="s">
        <v>57</v>
      </c>
      <c r="B48" s="1">
        <v>2007217</v>
      </c>
      <c r="C48">
        <v>39</v>
      </c>
      <c r="D48" t="str">
        <f t="shared" si="8"/>
        <v>S</v>
      </c>
      <c r="E48" s="5">
        <f t="shared" si="9"/>
        <v>0.62968380703684401</v>
      </c>
      <c r="F48">
        <v>27</v>
      </c>
      <c r="G48" t="str">
        <f t="shared" si="10"/>
        <v>S</v>
      </c>
      <c r="H48" s="5">
        <f t="shared" si="11"/>
        <v>0.29681030968149169</v>
      </c>
      <c r="I48">
        <v>28</v>
      </c>
      <c r="J48" t="str">
        <f t="shared" si="12"/>
        <v>S</v>
      </c>
      <c r="K48" s="5">
        <f t="shared" si="13"/>
        <v>0.41155280840682901</v>
      </c>
      <c r="L48" s="5">
        <f t="shared" si="14"/>
        <v>0.44601564170838826</v>
      </c>
      <c r="M48">
        <f t="shared" si="15"/>
        <v>47</v>
      </c>
    </row>
    <row r="49" spans="1:13" x14ac:dyDescent="0.25">
      <c r="A49" t="s">
        <v>118</v>
      </c>
      <c r="B49" s="1">
        <v>2007349</v>
      </c>
      <c r="C49">
        <v>45</v>
      </c>
      <c r="D49" t="str">
        <f t="shared" si="8"/>
        <v>C</v>
      </c>
      <c r="E49" s="5">
        <f t="shared" si="9"/>
        <v>0.99494523247102751</v>
      </c>
      <c r="F49">
        <v>24</v>
      </c>
      <c r="G49" t="str">
        <f t="shared" si="10"/>
        <v>S</v>
      </c>
      <c r="H49" s="5">
        <f t="shared" si="11"/>
        <v>0.10708450388508717</v>
      </c>
      <c r="I49">
        <v>25</v>
      </c>
      <c r="J49" t="str">
        <f t="shared" si="12"/>
        <v>S</v>
      </c>
      <c r="K49" s="5">
        <f t="shared" si="13"/>
        <v>0.22061417148942916</v>
      </c>
      <c r="L49" s="5">
        <f t="shared" si="14"/>
        <v>0.44088130261518127</v>
      </c>
      <c r="M49">
        <f t="shared" si="15"/>
        <v>48</v>
      </c>
    </row>
    <row r="50" spans="1:13" x14ac:dyDescent="0.25">
      <c r="A50" t="s">
        <v>55</v>
      </c>
      <c r="B50" s="1">
        <v>2007215</v>
      </c>
      <c r="C50">
        <v>42</v>
      </c>
      <c r="D50" t="str">
        <f t="shared" si="8"/>
        <v>S</v>
      </c>
      <c r="E50" s="5">
        <f t="shared" si="9"/>
        <v>0.81231451975393576</v>
      </c>
      <c r="F50">
        <v>22</v>
      </c>
      <c r="G50" s="8" t="str">
        <f t="shared" si="10"/>
        <v>S</v>
      </c>
      <c r="H50" s="5">
        <f t="shared" si="11"/>
        <v>-1.9399366645849191E-2</v>
      </c>
      <c r="I50">
        <v>29</v>
      </c>
      <c r="J50" t="str">
        <f t="shared" si="12"/>
        <v>S</v>
      </c>
      <c r="K50" s="5">
        <f t="shared" si="13"/>
        <v>0.47519902071262893</v>
      </c>
      <c r="L50" s="5">
        <f t="shared" si="14"/>
        <v>0.42270472460690517</v>
      </c>
      <c r="M50">
        <f t="shared" si="15"/>
        <v>49</v>
      </c>
    </row>
    <row r="51" spans="1:13" x14ac:dyDescent="0.25">
      <c r="A51" t="s">
        <v>63</v>
      </c>
      <c r="B51" s="1">
        <v>2007223</v>
      </c>
      <c r="C51">
        <v>40</v>
      </c>
      <c r="D51" t="str">
        <f t="shared" si="8"/>
        <v>S</v>
      </c>
      <c r="E51" s="5">
        <f t="shared" si="9"/>
        <v>0.69056071127587459</v>
      </c>
      <c r="F51">
        <v>20</v>
      </c>
      <c r="G51" s="8" t="str">
        <f t="shared" si="10"/>
        <v>S</v>
      </c>
      <c r="H51" s="5">
        <f t="shared" si="11"/>
        <v>-0.14588323717678553</v>
      </c>
      <c r="I51">
        <v>32</v>
      </c>
      <c r="J51" t="str">
        <f t="shared" si="12"/>
        <v>S</v>
      </c>
      <c r="K51" s="5">
        <f t="shared" si="13"/>
        <v>0.66613765763002875</v>
      </c>
      <c r="L51" s="5">
        <f t="shared" si="14"/>
        <v>0.40360504390970592</v>
      </c>
      <c r="M51">
        <f t="shared" si="15"/>
        <v>50</v>
      </c>
    </row>
    <row r="52" spans="1:13" x14ac:dyDescent="0.25">
      <c r="A52" t="s">
        <v>33</v>
      </c>
      <c r="B52" s="1">
        <v>2007178</v>
      </c>
      <c r="C52">
        <v>31</v>
      </c>
      <c r="D52" t="str">
        <f t="shared" si="8"/>
        <v>S</v>
      </c>
      <c r="E52" s="5">
        <f t="shared" si="9"/>
        <v>0.14266857312459938</v>
      </c>
      <c r="F52">
        <v>61</v>
      </c>
      <c r="G52" t="str">
        <f t="shared" si="10"/>
        <v>B</v>
      </c>
      <c r="H52" s="5">
        <f t="shared" si="11"/>
        <v>2.4470361087074095</v>
      </c>
      <c r="I52">
        <v>0</v>
      </c>
      <c r="J52" t="str">
        <f t="shared" si="12"/>
        <v>W</v>
      </c>
      <c r="K52" s="5">
        <f t="shared" si="13"/>
        <v>-1.3705411361555693</v>
      </c>
      <c r="L52" s="5" t="s">
        <v>169</v>
      </c>
      <c r="M52" t="s">
        <v>169</v>
      </c>
    </row>
    <row r="53" spans="1:13" x14ac:dyDescent="0.25">
      <c r="A53" t="s">
        <v>77</v>
      </c>
      <c r="B53" s="1">
        <v>2007265</v>
      </c>
      <c r="C53">
        <v>32</v>
      </c>
      <c r="D53" t="str">
        <f t="shared" si="8"/>
        <v>S</v>
      </c>
      <c r="E53" s="5">
        <f t="shared" si="9"/>
        <v>0.20354547736362996</v>
      </c>
      <c r="F53">
        <v>26</v>
      </c>
      <c r="G53" s="8" t="str">
        <f t="shared" si="10"/>
        <v>S</v>
      </c>
      <c r="H53" s="5">
        <f t="shared" si="11"/>
        <v>0.23356837441602352</v>
      </c>
      <c r="I53">
        <v>33</v>
      </c>
      <c r="J53" t="str">
        <f t="shared" si="12"/>
        <v>S</v>
      </c>
      <c r="K53" s="5">
        <f t="shared" si="13"/>
        <v>0.72978386993582867</v>
      </c>
      <c r="L53" s="5">
        <f>AVERAGE(E53,H53,K53)</f>
        <v>0.38896590723849406</v>
      </c>
      <c r="M53">
        <f>RANK(L53,$L$2:$L$164)</f>
        <v>51</v>
      </c>
    </row>
    <row r="54" spans="1:13" x14ac:dyDescent="0.25">
      <c r="A54" t="s">
        <v>130</v>
      </c>
      <c r="B54" s="1">
        <v>2007363</v>
      </c>
      <c r="C54">
        <v>41</v>
      </c>
      <c r="D54" t="str">
        <f t="shared" si="8"/>
        <v>S</v>
      </c>
      <c r="E54" s="5">
        <f t="shared" si="9"/>
        <v>0.75143761551490518</v>
      </c>
      <c r="F54">
        <v>33</v>
      </c>
      <c r="G54" t="str">
        <f t="shared" si="10"/>
        <v>S</v>
      </c>
      <c r="H54" s="5">
        <f t="shared" si="11"/>
        <v>0.67626192127430074</v>
      </c>
      <c r="I54">
        <v>17</v>
      </c>
      <c r="J54" t="str">
        <f t="shared" si="12"/>
        <v>W</v>
      </c>
      <c r="K54" s="5">
        <f t="shared" si="13"/>
        <v>-0.28855552695697034</v>
      </c>
      <c r="L54" s="5" t="s">
        <v>169</v>
      </c>
      <c r="M54" t="s">
        <v>169</v>
      </c>
    </row>
    <row r="55" spans="1:13" x14ac:dyDescent="0.25">
      <c r="A55" t="s">
        <v>135</v>
      </c>
      <c r="B55" s="1">
        <v>2007369</v>
      </c>
      <c r="C55">
        <v>44</v>
      </c>
      <c r="D55" t="str">
        <f t="shared" si="8"/>
        <v>C</v>
      </c>
      <c r="E55" s="5">
        <f t="shared" si="9"/>
        <v>0.93406832823199692</v>
      </c>
      <c r="F55">
        <v>25</v>
      </c>
      <c r="G55" s="8" t="str">
        <f t="shared" si="10"/>
        <v>S</v>
      </c>
      <c r="H55" s="5">
        <f t="shared" si="11"/>
        <v>0.17032643915055534</v>
      </c>
      <c r="I55">
        <v>21</v>
      </c>
      <c r="J55" t="str">
        <f t="shared" si="12"/>
        <v>S</v>
      </c>
      <c r="K55" s="5">
        <f t="shared" si="13"/>
        <v>-3.3970677733770577E-2</v>
      </c>
      <c r="L55" s="5">
        <f>AVERAGE(E55,H55,K55)</f>
        <v>0.35680802988292726</v>
      </c>
      <c r="M55">
        <f>RANK(L55,$L$2:$L$164)</f>
        <v>52</v>
      </c>
    </row>
    <row r="56" spans="1:13" x14ac:dyDescent="0.25">
      <c r="A56" t="s">
        <v>145</v>
      </c>
      <c r="B56" s="1">
        <v>2007420</v>
      </c>
      <c r="C56">
        <v>39</v>
      </c>
      <c r="D56" t="str">
        <f t="shared" si="8"/>
        <v>S</v>
      </c>
      <c r="E56" s="5">
        <f t="shared" si="9"/>
        <v>0.62968380703684401</v>
      </c>
      <c r="F56">
        <v>24</v>
      </c>
      <c r="G56" s="8" t="str">
        <f t="shared" si="10"/>
        <v>S</v>
      </c>
      <c r="H56" s="5">
        <f t="shared" si="11"/>
        <v>0.10708450388508717</v>
      </c>
      <c r="I56">
        <v>26</v>
      </c>
      <c r="J56" t="str">
        <f t="shared" si="12"/>
        <v>S</v>
      </c>
      <c r="K56" s="5">
        <f t="shared" si="13"/>
        <v>0.28426038379522911</v>
      </c>
      <c r="L56" s="5">
        <f>AVERAGE(E56,H56,K56)</f>
        <v>0.34034289823905345</v>
      </c>
      <c r="M56">
        <f>RANK(L56,$L$2:$L$164)</f>
        <v>53</v>
      </c>
    </row>
    <row r="57" spans="1:13" x14ac:dyDescent="0.25">
      <c r="A57" t="s">
        <v>76</v>
      </c>
      <c r="B57" s="1">
        <v>2007264</v>
      </c>
      <c r="C57">
        <v>44</v>
      </c>
      <c r="D57" t="str">
        <f t="shared" si="8"/>
        <v>C</v>
      </c>
      <c r="E57" s="5">
        <f t="shared" si="9"/>
        <v>0.93406832823199692</v>
      </c>
      <c r="F57">
        <v>20</v>
      </c>
      <c r="G57" s="8" t="str">
        <f t="shared" si="10"/>
        <v>S</v>
      </c>
      <c r="H57" s="5">
        <f t="shared" si="11"/>
        <v>-0.14588323717678553</v>
      </c>
      <c r="I57">
        <v>25</v>
      </c>
      <c r="J57" t="str">
        <f t="shared" si="12"/>
        <v>S</v>
      </c>
      <c r="K57" s="5">
        <f t="shared" si="13"/>
        <v>0.22061417148942916</v>
      </c>
      <c r="L57" s="5">
        <f>AVERAGE(E57,H57,K57)</f>
        <v>0.33626642084821351</v>
      </c>
      <c r="M57">
        <f>RANK(L57,$L$2:$L$164)</f>
        <v>54</v>
      </c>
    </row>
    <row r="58" spans="1:13" x14ac:dyDescent="0.25">
      <c r="A58" t="s">
        <v>110</v>
      </c>
      <c r="B58" s="1">
        <v>2007341</v>
      </c>
      <c r="C58">
        <v>37</v>
      </c>
      <c r="D58" t="str">
        <f t="shared" si="8"/>
        <v>S</v>
      </c>
      <c r="E58" s="5">
        <f t="shared" si="9"/>
        <v>0.50792999855878285</v>
      </c>
      <c r="F58">
        <v>27</v>
      </c>
      <c r="G58" s="8" t="str">
        <f t="shared" si="10"/>
        <v>S</v>
      </c>
      <c r="H58" s="5">
        <f t="shared" si="11"/>
        <v>0.29681030968149169</v>
      </c>
      <c r="I58">
        <v>24</v>
      </c>
      <c r="J58" t="str">
        <f t="shared" si="12"/>
        <v>S</v>
      </c>
      <c r="K58" s="5">
        <f t="shared" si="13"/>
        <v>0.15696795918362924</v>
      </c>
      <c r="L58" s="5">
        <f>AVERAGE(E58,H58,K58)</f>
        <v>0.3205694224746346</v>
      </c>
      <c r="M58">
        <f>RANK(L58,$L$2:$L$164)</f>
        <v>55</v>
      </c>
    </row>
    <row r="59" spans="1:13" x14ac:dyDescent="0.25">
      <c r="A59" t="s">
        <v>68</v>
      </c>
      <c r="B59" s="1">
        <v>2007228</v>
      </c>
      <c r="C59">
        <v>38</v>
      </c>
      <c r="D59" t="str">
        <f t="shared" si="8"/>
        <v>S</v>
      </c>
      <c r="E59" s="5">
        <f t="shared" si="9"/>
        <v>0.56880690279781343</v>
      </c>
      <c r="F59">
        <v>23</v>
      </c>
      <c r="G59" s="8" t="str">
        <f t="shared" si="10"/>
        <v>S</v>
      </c>
      <c r="H59" s="5">
        <f t="shared" si="11"/>
        <v>4.3842568619618986E-2</v>
      </c>
      <c r="I59">
        <v>26</v>
      </c>
      <c r="J59" t="str">
        <f t="shared" si="12"/>
        <v>S</v>
      </c>
      <c r="K59" s="5">
        <f t="shared" si="13"/>
        <v>0.28426038379522911</v>
      </c>
      <c r="L59" s="5">
        <f>AVERAGE(E59,H59,K59)</f>
        <v>0.29896995173755386</v>
      </c>
      <c r="M59">
        <f>RANK(L59,$L$2:$L$164)</f>
        <v>56</v>
      </c>
    </row>
    <row r="60" spans="1:13" x14ac:dyDescent="0.25">
      <c r="A60" t="s">
        <v>16</v>
      </c>
      <c r="B60" s="1">
        <v>2007136</v>
      </c>
      <c r="C60">
        <v>45</v>
      </c>
      <c r="D60" t="str">
        <f t="shared" si="8"/>
        <v>C</v>
      </c>
      <c r="E60" s="5">
        <f t="shared" si="9"/>
        <v>0.99494523247102751</v>
      </c>
      <c r="F60">
        <v>0</v>
      </c>
      <c r="G60" t="str">
        <f t="shared" si="10"/>
        <v>W</v>
      </c>
      <c r="H60" s="5">
        <f t="shared" si="11"/>
        <v>-1.410721942486149</v>
      </c>
      <c r="I60">
        <v>42</v>
      </c>
      <c r="J60" t="str">
        <f t="shared" si="12"/>
        <v>S</v>
      </c>
      <c r="K60" s="5">
        <f t="shared" si="13"/>
        <v>1.3025997806880281</v>
      </c>
      <c r="L60" s="5" t="s">
        <v>169</v>
      </c>
      <c r="M60" t="s">
        <v>169</v>
      </c>
    </row>
    <row r="61" spans="1:13" x14ac:dyDescent="0.25">
      <c r="A61" t="s">
        <v>30</v>
      </c>
      <c r="B61" s="1">
        <v>2007172</v>
      </c>
      <c r="C61">
        <v>22</v>
      </c>
      <c r="D61" t="str">
        <f t="shared" si="8"/>
        <v>S</v>
      </c>
      <c r="E61" s="5">
        <f t="shared" si="9"/>
        <v>-0.40522356502667589</v>
      </c>
      <c r="F61">
        <v>32</v>
      </c>
      <c r="G61" s="8" t="str">
        <f t="shared" si="10"/>
        <v>S</v>
      </c>
      <c r="H61" s="5">
        <f t="shared" si="11"/>
        <v>0.61301998600883256</v>
      </c>
      <c r="I61">
        <v>32</v>
      </c>
      <c r="J61" t="str">
        <f t="shared" si="12"/>
        <v>S</v>
      </c>
      <c r="K61" s="5">
        <f t="shared" si="13"/>
        <v>0.66613765763002875</v>
      </c>
      <c r="L61" s="5">
        <f>AVERAGE(E61,H61,K61)</f>
        <v>0.29131135953739512</v>
      </c>
      <c r="M61">
        <f>RANK(L61,$L$2:$L$164)</f>
        <v>57</v>
      </c>
    </row>
    <row r="62" spans="1:13" x14ac:dyDescent="0.25">
      <c r="A62" t="s">
        <v>53</v>
      </c>
      <c r="B62" s="1">
        <v>2007213</v>
      </c>
      <c r="C62">
        <v>30</v>
      </c>
      <c r="D62" t="str">
        <f t="shared" si="8"/>
        <v>S</v>
      </c>
      <c r="E62" s="5">
        <f t="shared" si="9"/>
        <v>8.1791668885568797E-2</v>
      </c>
      <c r="F62">
        <v>31</v>
      </c>
      <c r="G62" s="8" t="str">
        <f t="shared" si="10"/>
        <v>S</v>
      </c>
      <c r="H62" s="5">
        <f t="shared" si="11"/>
        <v>0.54977805074336439</v>
      </c>
      <c r="I62">
        <v>25</v>
      </c>
      <c r="J62" t="str">
        <f t="shared" si="12"/>
        <v>S</v>
      </c>
      <c r="K62" s="5">
        <f t="shared" si="13"/>
        <v>0.22061417148942916</v>
      </c>
      <c r="L62" s="5">
        <f>AVERAGE(E62,H62,K62)</f>
        <v>0.2840612970394541</v>
      </c>
      <c r="M62">
        <f>RANK(L62,$L$2:$L$164)</f>
        <v>58</v>
      </c>
    </row>
    <row r="63" spans="1:13" x14ac:dyDescent="0.25">
      <c r="A63" t="s">
        <v>36</v>
      </c>
      <c r="B63" s="1">
        <v>2007181</v>
      </c>
      <c r="C63">
        <v>33</v>
      </c>
      <c r="D63" t="str">
        <f t="shared" si="8"/>
        <v>S</v>
      </c>
      <c r="E63" s="5">
        <f t="shared" si="9"/>
        <v>0.26442238160266057</v>
      </c>
      <c r="F63">
        <v>33</v>
      </c>
      <c r="G63" s="8" t="str">
        <f t="shared" si="10"/>
        <v>S</v>
      </c>
      <c r="H63" s="5">
        <f t="shared" si="11"/>
        <v>0.67626192127430074</v>
      </c>
      <c r="I63">
        <v>20</v>
      </c>
      <c r="J63" t="str">
        <f t="shared" si="12"/>
        <v>S</v>
      </c>
      <c r="K63" s="5">
        <f t="shared" si="13"/>
        <v>-9.7616890039570511E-2</v>
      </c>
      <c r="L63" s="5">
        <f>AVERAGE(E63,H63,K63)</f>
        <v>0.28102247094579696</v>
      </c>
      <c r="M63">
        <f>RANK(L63,$L$2:$L$164)</f>
        <v>59</v>
      </c>
    </row>
    <row r="64" spans="1:13" x14ac:dyDescent="0.25">
      <c r="A64" t="s">
        <v>122</v>
      </c>
      <c r="B64" s="1">
        <v>2007353</v>
      </c>
      <c r="C64">
        <v>41</v>
      </c>
      <c r="D64" t="str">
        <f t="shared" si="8"/>
        <v>S</v>
      </c>
      <c r="E64" s="5">
        <f t="shared" si="9"/>
        <v>0.75143761551490518</v>
      </c>
      <c r="F64">
        <v>15</v>
      </c>
      <c r="G64" t="str">
        <f t="shared" si="10"/>
        <v>W</v>
      </c>
      <c r="H64" s="5">
        <f t="shared" si="11"/>
        <v>-0.4620929135041264</v>
      </c>
      <c r="I64">
        <v>30</v>
      </c>
      <c r="J64" t="str">
        <f t="shared" si="12"/>
        <v>S</v>
      </c>
      <c r="K64" s="5">
        <f t="shared" si="13"/>
        <v>0.5388452330184289</v>
      </c>
      <c r="L64" s="5" t="s">
        <v>169</v>
      </c>
      <c r="M64" t="s">
        <v>169</v>
      </c>
    </row>
    <row r="65" spans="1:13" x14ac:dyDescent="0.25">
      <c r="A65" t="s">
        <v>124</v>
      </c>
      <c r="B65" s="1">
        <v>2007355</v>
      </c>
      <c r="C65">
        <v>29</v>
      </c>
      <c r="D65" t="str">
        <f t="shared" si="8"/>
        <v>S</v>
      </c>
      <c r="E65" s="5">
        <f t="shared" si="9"/>
        <v>2.0914764646538211E-2</v>
      </c>
      <c r="F65">
        <v>25</v>
      </c>
      <c r="G65" s="8" t="str">
        <f t="shared" si="10"/>
        <v>S</v>
      </c>
      <c r="H65" s="5">
        <f t="shared" si="11"/>
        <v>0.17032643915055534</v>
      </c>
      <c r="I65">
        <v>31</v>
      </c>
      <c r="J65" t="str">
        <f t="shared" si="12"/>
        <v>S</v>
      </c>
      <c r="K65" s="5">
        <f t="shared" si="13"/>
        <v>0.60249144532422882</v>
      </c>
      <c r="L65" s="5">
        <f>AVERAGE(E65,H65,K65)</f>
        <v>0.26457754970710745</v>
      </c>
      <c r="M65">
        <f>RANK(L65,$L$2:$L$164)</f>
        <v>60</v>
      </c>
    </row>
    <row r="66" spans="1:13" x14ac:dyDescent="0.25">
      <c r="A66" t="s">
        <v>92</v>
      </c>
      <c r="B66" s="1">
        <v>2007316</v>
      </c>
      <c r="C66">
        <v>31</v>
      </c>
      <c r="D66" t="str">
        <f t="shared" ref="D66:D97" si="16">IF(C66="Absent","AB",IF(C66&gt;=67,"A",IF(C66&gt;=58,"B",IF(C66&gt;=43,"C",IF(C66&gt;=20,"S","W")))))</f>
        <v>S</v>
      </c>
      <c r="E66" s="5">
        <f t="shared" ref="E66:E97" si="17">(C66-$Q$12)/$Q$13</f>
        <v>0.14266857312459938</v>
      </c>
      <c r="F66">
        <v>24</v>
      </c>
      <c r="G66" s="8" t="str">
        <f t="shared" ref="G66:G97" si="18">IF(F66="Absent","AB",IF(F66&gt;=67,"A",IF(F66&gt;=58,"B",IF(F66&gt;=43,"C",IF(F66&gt;=20,"S","W")))))</f>
        <v>S</v>
      </c>
      <c r="H66" s="5">
        <f t="shared" ref="H66:H97" si="19">(F66-$R$12)/$R$13</f>
        <v>0.10708450388508717</v>
      </c>
      <c r="I66">
        <v>29</v>
      </c>
      <c r="J66" t="str">
        <f t="shared" ref="J66:J97" si="20">IF(I66="Absent","AB",IF(I66&gt;=67,"A",IF(I66&gt;=58,"B",IF(I66&gt;=43,"C",IF(I66&gt;=20,"S","W")))))</f>
        <v>S</v>
      </c>
      <c r="K66" s="5">
        <f t="shared" ref="K66:K97" si="21">(I66-$S$12)/$S$13</f>
        <v>0.47519902071262893</v>
      </c>
      <c r="L66" s="5">
        <f>AVERAGE(E66,H66,K66)</f>
        <v>0.24165069924077184</v>
      </c>
      <c r="M66">
        <f>RANK(L66,$L$2:$L$164)</f>
        <v>61</v>
      </c>
    </row>
    <row r="67" spans="1:13" x14ac:dyDescent="0.25">
      <c r="A67" t="s">
        <v>54</v>
      </c>
      <c r="B67" s="1">
        <v>2007214</v>
      </c>
      <c r="C67">
        <v>39</v>
      </c>
      <c r="D67" t="str">
        <f t="shared" si="16"/>
        <v>S</v>
      </c>
      <c r="E67" s="5">
        <f t="shared" si="17"/>
        <v>0.62968380703684401</v>
      </c>
      <c r="F67">
        <v>16</v>
      </c>
      <c r="G67" t="str">
        <f t="shared" si="18"/>
        <v>W</v>
      </c>
      <c r="H67" s="5">
        <f t="shared" si="19"/>
        <v>-0.39885097823865823</v>
      </c>
      <c r="I67">
        <v>29</v>
      </c>
      <c r="J67" t="str">
        <f t="shared" si="20"/>
        <v>S</v>
      </c>
      <c r="K67" s="5">
        <f t="shared" si="21"/>
        <v>0.47519902071262893</v>
      </c>
      <c r="L67" s="5" t="s">
        <v>169</v>
      </c>
      <c r="M67" t="s">
        <v>169</v>
      </c>
    </row>
    <row r="68" spans="1:13" x14ac:dyDescent="0.25">
      <c r="A68" t="s">
        <v>157</v>
      </c>
      <c r="B68" s="1">
        <v>2007411</v>
      </c>
      <c r="C68">
        <v>40</v>
      </c>
      <c r="D68" t="str">
        <f t="shared" si="16"/>
        <v>S</v>
      </c>
      <c r="E68" s="5">
        <f t="shared" si="17"/>
        <v>0.69056071127587459</v>
      </c>
      <c r="F68">
        <v>23</v>
      </c>
      <c r="G68" s="8" t="str">
        <f t="shared" si="18"/>
        <v>S</v>
      </c>
      <c r="H68" s="5">
        <f t="shared" si="19"/>
        <v>4.3842568619618986E-2</v>
      </c>
      <c r="I68">
        <v>21</v>
      </c>
      <c r="J68" t="str">
        <f t="shared" si="20"/>
        <v>S</v>
      </c>
      <c r="K68" s="5">
        <f t="shared" si="21"/>
        <v>-3.3970677733770577E-2</v>
      </c>
      <c r="L68" s="5">
        <f>AVERAGE(E68,H68,K68)</f>
        <v>0.23347753405390767</v>
      </c>
      <c r="M68">
        <f>RANK(L68,$L$2:$L$164)</f>
        <v>62</v>
      </c>
    </row>
    <row r="69" spans="1:13" x14ac:dyDescent="0.25">
      <c r="A69" t="s">
        <v>73</v>
      </c>
      <c r="B69" s="1">
        <v>2007257</v>
      </c>
      <c r="C69">
        <v>33</v>
      </c>
      <c r="D69" t="str">
        <f t="shared" si="16"/>
        <v>S</v>
      </c>
      <c r="E69" s="5">
        <f t="shared" si="17"/>
        <v>0.26442238160266057</v>
      </c>
      <c r="F69">
        <v>27</v>
      </c>
      <c r="G69" s="8" t="str">
        <f t="shared" si="18"/>
        <v>S</v>
      </c>
      <c r="H69" s="5">
        <f t="shared" si="19"/>
        <v>0.29681030968149169</v>
      </c>
      <c r="I69">
        <v>23</v>
      </c>
      <c r="J69" t="str">
        <f t="shared" si="20"/>
        <v>S</v>
      </c>
      <c r="K69" s="5">
        <f t="shared" si="21"/>
        <v>9.3321746877829292E-2</v>
      </c>
      <c r="L69" s="5">
        <f>AVERAGE(E69,H69,K69)</f>
        <v>0.21818481272066056</v>
      </c>
      <c r="M69">
        <f>RANK(L69,$L$2:$L$164)</f>
        <v>63</v>
      </c>
    </row>
    <row r="70" spans="1:13" x14ac:dyDescent="0.25">
      <c r="A70" t="s">
        <v>101</v>
      </c>
      <c r="B70" s="2">
        <v>2007327</v>
      </c>
      <c r="C70">
        <v>36</v>
      </c>
      <c r="D70" t="str">
        <f t="shared" si="16"/>
        <v>S</v>
      </c>
      <c r="E70" s="5">
        <f t="shared" si="17"/>
        <v>0.44705309431975232</v>
      </c>
      <c r="F70">
        <v>23</v>
      </c>
      <c r="G70" s="8" t="str">
        <f t="shared" si="18"/>
        <v>S</v>
      </c>
      <c r="H70" s="5">
        <f t="shared" si="19"/>
        <v>4.3842568619618986E-2</v>
      </c>
      <c r="I70">
        <v>24</v>
      </c>
      <c r="J70" t="str">
        <f t="shared" si="20"/>
        <v>S</v>
      </c>
      <c r="K70" s="5">
        <f t="shared" si="21"/>
        <v>0.15696795918362924</v>
      </c>
      <c r="L70" s="5">
        <f>AVERAGE(E70,H70,K70)</f>
        <v>0.21595454070766684</v>
      </c>
      <c r="M70">
        <f>RANK(L70,$L$2:$L$164)</f>
        <v>64</v>
      </c>
    </row>
    <row r="71" spans="1:13" x14ac:dyDescent="0.25">
      <c r="A71" t="s">
        <v>106</v>
      </c>
      <c r="B71" s="2">
        <v>2007333</v>
      </c>
      <c r="C71">
        <v>41</v>
      </c>
      <c r="D71" t="str">
        <f t="shared" si="16"/>
        <v>S</v>
      </c>
      <c r="E71" s="5">
        <f t="shared" si="17"/>
        <v>0.75143761551490518</v>
      </c>
      <c r="F71">
        <v>26</v>
      </c>
      <c r="G71" t="str">
        <f t="shared" si="18"/>
        <v>S</v>
      </c>
      <c r="H71" s="5">
        <f t="shared" si="19"/>
        <v>0.23356837441602352</v>
      </c>
      <c r="I71">
        <v>16</v>
      </c>
      <c r="J71" t="str">
        <f t="shared" si="20"/>
        <v>W</v>
      </c>
      <c r="K71" s="5">
        <f t="shared" si="21"/>
        <v>-0.35220173926277026</v>
      </c>
      <c r="L71" s="5" t="s">
        <v>169</v>
      </c>
      <c r="M71" t="s">
        <v>169</v>
      </c>
    </row>
    <row r="72" spans="1:13" x14ac:dyDescent="0.25">
      <c r="A72" t="s">
        <v>83</v>
      </c>
      <c r="B72" s="1">
        <v>2007300</v>
      </c>
      <c r="C72">
        <v>24</v>
      </c>
      <c r="D72" t="str">
        <f t="shared" si="16"/>
        <v>S</v>
      </c>
      <c r="E72" s="5">
        <f t="shared" si="17"/>
        <v>-0.28346975654861473</v>
      </c>
      <c r="F72">
        <v>25</v>
      </c>
      <c r="G72" s="8" t="str">
        <f t="shared" si="18"/>
        <v>S</v>
      </c>
      <c r="H72" s="5">
        <f t="shared" si="19"/>
        <v>0.17032643915055534</v>
      </c>
      <c r="I72">
        <v>33</v>
      </c>
      <c r="J72" t="str">
        <f t="shared" si="20"/>
        <v>S</v>
      </c>
      <c r="K72" s="5">
        <f t="shared" si="21"/>
        <v>0.72978386993582867</v>
      </c>
      <c r="L72" s="5">
        <f t="shared" ref="L72:L78" si="22">AVERAGE(E72,H72,K72)</f>
        <v>0.20554685084592308</v>
      </c>
      <c r="M72">
        <f t="shared" ref="M72:M78" si="23">RANK(L72,$L$2:$L$164)</f>
        <v>65</v>
      </c>
    </row>
    <row r="73" spans="1:13" x14ac:dyDescent="0.25">
      <c r="A73" t="s">
        <v>95</v>
      </c>
      <c r="B73" s="2">
        <v>2007320</v>
      </c>
      <c r="C73">
        <v>22</v>
      </c>
      <c r="D73" t="str">
        <f t="shared" si="16"/>
        <v>S</v>
      </c>
      <c r="E73" s="5">
        <f t="shared" si="17"/>
        <v>-0.40522356502667589</v>
      </c>
      <c r="F73">
        <v>32</v>
      </c>
      <c r="G73" s="8" t="str">
        <f t="shared" si="18"/>
        <v>S</v>
      </c>
      <c r="H73" s="5">
        <f t="shared" si="19"/>
        <v>0.61301998600883256</v>
      </c>
      <c r="I73">
        <v>27</v>
      </c>
      <c r="J73" t="str">
        <f t="shared" si="20"/>
        <v>S</v>
      </c>
      <c r="K73" s="5">
        <f t="shared" si="21"/>
        <v>0.34790659610102903</v>
      </c>
      <c r="L73" s="5">
        <f t="shared" si="22"/>
        <v>0.18523433902772857</v>
      </c>
      <c r="M73">
        <f t="shared" si="23"/>
        <v>66</v>
      </c>
    </row>
    <row r="74" spans="1:13" x14ac:dyDescent="0.25">
      <c r="A74" t="s">
        <v>89</v>
      </c>
      <c r="B74" s="1">
        <v>2007306</v>
      </c>
      <c r="C74">
        <v>28</v>
      </c>
      <c r="D74" t="str">
        <f t="shared" si="16"/>
        <v>S</v>
      </c>
      <c r="E74" s="5">
        <f t="shared" si="17"/>
        <v>-3.9962139592492375E-2</v>
      </c>
      <c r="F74">
        <v>25</v>
      </c>
      <c r="G74" s="8" t="str">
        <f t="shared" si="18"/>
        <v>S</v>
      </c>
      <c r="H74" s="5">
        <f t="shared" si="19"/>
        <v>0.17032643915055534</v>
      </c>
      <c r="I74">
        <v>27</v>
      </c>
      <c r="J74" t="str">
        <f t="shared" si="20"/>
        <v>S</v>
      </c>
      <c r="K74" s="5">
        <f t="shared" si="21"/>
        <v>0.34790659610102903</v>
      </c>
      <c r="L74" s="5">
        <f t="shared" si="22"/>
        <v>0.15942363188636399</v>
      </c>
      <c r="M74">
        <f t="shared" si="23"/>
        <v>67</v>
      </c>
    </row>
    <row r="75" spans="1:13" x14ac:dyDescent="0.25">
      <c r="A75" t="s">
        <v>131</v>
      </c>
      <c r="B75" s="1">
        <v>2007364</v>
      </c>
      <c r="C75">
        <v>21</v>
      </c>
      <c r="D75" t="str">
        <f t="shared" si="16"/>
        <v>S</v>
      </c>
      <c r="E75" s="5">
        <f t="shared" si="17"/>
        <v>-0.46610046926570647</v>
      </c>
      <c r="F75">
        <v>28</v>
      </c>
      <c r="G75" s="8" t="str">
        <f t="shared" si="18"/>
        <v>S</v>
      </c>
      <c r="H75" s="5">
        <f t="shared" si="19"/>
        <v>0.36005224494695987</v>
      </c>
      <c r="I75">
        <v>30</v>
      </c>
      <c r="J75" t="str">
        <f t="shared" si="20"/>
        <v>S</v>
      </c>
      <c r="K75" s="5">
        <f t="shared" si="21"/>
        <v>0.5388452330184289</v>
      </c>
      <c r="L75" s="5">
        <f t="shared" si="22"/>
        <v>0.14426566956656076</v>
      </c>
      <c r="M75">
        <f t="shared" si="23"/>
        <v>68</v>
      </c>
    </row>
    <row r="76" spans="1:13" x14ac:dyDescent="0.25">
      <c r="A76" t="s">
        <v>84</v>
      </c>
      <c r="B76" s="1">
        <v>2007301</v>
      </c>
      <c r="C76">
        <v>24</v>
      </c>
      <c r="D76" t="str">
        <f t="shared" si="16"/>
        <v>S</v>
      </c>
      <c r="E76" s="5">
        <f t="shared" si="17"/>
        <v>-0.28346975654861473</v>
      </c>
      <c r="F76">
        <v>25</v>
      </c>
      <c r="G76" s="8" t="str">
        <f t="shared" si="18"/>
        <v>S</v>
      </c>
      <c r="H76" s="5">
        <f t="shared" si="19"/>
        <v>0.17032643915055534</v>
      </c>
      <c r="I76">
        <v>30</v>
      </c>
      <c r="J76" t="str">
        <f t="shared" si="20"/>
        <v>S</v>
      </c>
      <c r="K76" s="5">
        <f t="shared" si="21"/>
        <v>0.5388452330184289</v>
      </c>
      <c r="L76" s="5">
        <f t="shared" si="22"/>
        <v>0.14190063854012316</v>
      </c>
      <c r="M76">
        <f t="shared" si="23"/>
        <v>69</v>
      </c>
    </row>
    <row r="77" spans="1:13" x14ac:dyDescent="0.25">
      <c r="A77" t="s">
        <v>29</v>
      </c>
      <c r="B77" s="1">
        <v>2007169</v>
      </c>
      <c r="C77">
        <v>30</v>
      </c>
      <c r="D77" t="str">
        <f t="shared" si="16"/>
        <v>S</v>
      </c>
      <c r="E77" s="5">
        <f t="shared" si="17"/>
        <v>8.1791668885568797E-2</v>
      </c>
      <c r="F77">
        <v>29</v>
      </c>
      <c r="G77" s="8" t="str">
        <f t="shared" si="18"/>
        <v>S</v>
      </c>
      <c r="H77" s="5">
        <f t="shared" si="19"/>
        <v>0.42329418021242804</v>
      </c>
      <c r="I77">
        <v>20</v>
      </c>
      <c r="J77" t="str">
        <f t="shared" si="20"/>
        <v>S</v>
      </c>
      <c r="K77" s="5">
        <f t="shared" si="21"/>
        <v>-9.7616890039570511E-2</v>
      </c>
      <c r="L77" s="5">
        <f t="shared" si="22"/>
        <v>0.13582298635280876</v>
      </c>
      <c r="M77">
        <f t="shared" si="23"/>
        <v>70</v>
      </c>
    </row>
    <row r="78" spans="1:13" x14ac:dyDescent="0.25">
      <c r="A78" t="s">
        <v>32</v>
      </c>
      <c r="B78" s="1">
        <v>2007177</v>
      </c>
      <c r="C78">
        <v>21</v>
      </c>
      <c r="D78" t="str">
        <f t="shared" si="16"/>
        <v>S</v>
      </c>
      <c r="E78" s="5">
        <f t="shared" si="17"/>
        <v>-0.46610046926570647</v>
      </c>
      <c r="F78">
        <v>32</v>
      </c>
      <c r="G78" s="8" t="str">
        <f t="shared" si="18"/>
        <v>S</v>
      </c>
      <c r="H78" s="5">
        <f t="shared" si="19"/>
        <v>0.61301998600883256</v>
      </c>
      <c r="I78">
        <v>24</v>
      </c>
      <c r="J78" t="str">
        <f t="shared" si="20"/>
        <v>S</v>
      </c>
      <c r="K78" s="5">
        <f t="shared" si="21"/>
        <v>0.15696795918362924</v>
      </c>
      <c r="L78" s="5">
        <f t="shared" si="22"/>
        <v>0.10129582530891845</v>
      </c>
      <c r="M78">
        <f t="shared" si="23"/>
        <v>71</v>
      </c>
    </row>
    <row r="79" spans="1:13" x14ac:dyDescent="0.25">
      <c r="A79" t="s">
        <v>90</v>
      </c>
      <c r="B79" s="1">
        <v>2007309</v>
      </c>
      <c r="C79">
        <v>30</v>
      </c>
      <c r="D79" t="str">
        <f t="shared" si="16"/>
        <v>S</v>
      </c>
      <c r="E79" s="5">
        <f t="shared" si="17"/>
        <v>8.1791668885568797E-2</v>
      </c>
      <c r="F79">
        <v>19</v>
      </c>
      <c r="G79" t="str">
        <f t="shared" si="18"/>
        <v>W</v>
      </c>
      <c r="H79" s="5">
        <f t="shared" si="19"/>
        <v>-0.20912517244225373</v>
      </c>
      <c r="I79">
        <v>28</v>
      </c>
      <c r="J79" t="str">
        <f t="shared" si="20"/>
        <v>S</v>
      </c>
      <c r="K79" s="5">
        <f t="shared" si="21"/>
        <v>0.41155280840682901</v>
      </c>
      <c r="L79" s="5" t="s">
        <v>169</v>
      </c>
      <c r="M79" t="s">
        <v>169</v>
      </c>
    </row>
    <row r="80" spans="1:13" x14ac:dyDescent="0.25">
      <c r="A80" t="s">
        <v>123</v>
      </c>
      <c r="B80" s="1">
        <v>2007354</v>
      </c>
      <c r="C80">
        <v>31</v>
      </c>
      <c r="D80" t="str">
        <f t="shared" si="16"/>
        <v>S</v>
      </c>
      <c r="E80" s="5">
        <f t="shared" si="17"/>
        <v>0.14266857312459938</v>
      </c>
      <c r="F80">
        <v>24</v>
      </c>
      <c r="G80" s="8" t="str">
        <f t="shared" si="18"/>
        <v>S</v>
      </c>
      <c r="H80" s="5">
        <f t="shared" si="19"/>
        <v>0.10708450388508717</v>
      </c>
      <c r="I80">
        <v>22</v>
      </c>
      <c r="J80" t="str">
        <f t="shared" si="20"/>
        <v>S</v>
      </c>
      <c r="K80" s="5">
        <f t="shared" si="21"/>
        <v>2.9675534572029361E-2</v>
      </c>
      <c r="L80" s="5">
        <f>AVERAGE(E80,H80,K80)</f>
        <v>9.314287052723863E-2</v>
      </c>
      <c r="M80">
        <f>RANK(L80,$L$2:$L$164)</f>
        <v>72</v>
      </c>
    </row>
    <row r="81" spans="1:13" x14ac:dyDescent="0.25">
      <c r="A81" t="s">
        <v>147</v>
      </c>
      <c r="B81" s="1">
        <v>2007427</v>
      </c>
      <c r="C81">
        <v>38</v>
      </c>
      <c r="D81" t="str">
        <f t="shared" si="16"/>
        <v>S</v>
      </c>
      <c r="E81" s="5">
        <f t="shared" si="17"/>
        <v>0.56880690279781343</v>
      </c>
      <c r="F81">
        <v>24</v>
      </c>
      <c r="G81" t="str">
        <f t="shared" si="18"/>
        <v>S</v>
      </c>
      <c r="H81" s="5">
        <f t="shared" si="19"/>
        <v>0.10708450388508717</v>
      </c>
      <c r="I81">
        <v>15</v>
      </c>
      <c r="J81" t="str">
        <f t="shared" si="20"/>
        <v>W</v>
      </c>
      <c r="K81" s="5">
        <f t="shared" si="21"/>
        <v>-0.41584795156857018</v>
      </c>
      <c r="L81" s="5" t="s">
        <v>169</v>
      </c>
      <c r="M81" t="s">
        <v>169</v>
      </c>
    </row>
    <row r="82" spans="1:13" x14ac:dyDescent="0.25">
      <c r="A82" t="s">
        <v>62</v>
      </c>
      <c r="B82" s="1">
        <v>2007222</v>
      </c>
      <c r="C82">
        <v>22</v>
      </c>
      <c r="D82" t="str">
        <f t="shared" si="16"/>
        <v>S</v>
      </c>
      <c r="E82" s="5">
        <f t="shared" si="17"/>
        <v>-0.40522356502667589</v>
      </c>
      <c r="F82">
        <v>25</v>
      </c>
      <c r="G82" s="8" t="str">
        <f t="shared" si="18"/>
        <v>S</v>
      </c>
      <c r="H82" s="5">
        <f t="shared" si="19"/>
        <v>0.17032643915055534</v>
      </c>
      <c r="I82">
        <v>29</v>
      </c>
      <c r="J82" t="str">
        <f t="shared" si="20"/>
        <v>S</v>
      </c>
      <c r="K82" s="5">
        <f t="shared" si="21"/>
        <v>0.47519902071262893</v>
      </c>
      <c r="L82" s="5">
        <f>AVERAGE(E82,H82,K82)</f>
        <v>8.0100631612169459E-2</v>
      </c>
      <c r="M82">
        <f>RANK(L82,$L$2:$L$164)</f>
        <v>73</v>
      </c>
    </row>
    <row r="83" spans="1:13" x14ac:dyDescent="0.25">
      <c r="A83" t="s">
        <v>73</v>
      </c>
      <c r="B83" s="1">
        <v>2007314</v>
      </c>
      <c r="C83">
        <v>23</v>
      </c>
      <c r="D83" t="str">
        <f t="shared" si="16"/>
        <v>S</v>
      </c>
      <c r="E83" s="5">
        <f t="shared" si="17"/>
        <v>-0.34434666078764531</v>
      </c>
      <c r="F83">
        <v>25</v>
      </c>
      <c r="G83" s="8" t="str">
        <f t="shared" si="18"/>
        <v>S</v>
      </c>
      <c r="H83" s="5">
        <f t="shared" si="19"/>
        <v>0.17032643915055534</v>
      </c>
      <c r="I83">
        <v>26</v>
      </c>
      <c r="J83" t="str">
        <f t="shared" si="20"/>
        <v>S</v>
      </c>
      <c r="K83" s="5">
        <f t="shared" si="21"/>
        <v>0.28426038379522911</v>
      </c>
      <c r="L83" s="5">
        <f>AVERAGE(E83,H83,K83)</f>
        <v>3.6746720719379712E-2</v>
      </c>
      <c r="M83">
        <f>RANK(L83,$L$2:$L$164)</f>
        <v>74</v>
      </c>
    </row>
    <row r="84" spans="1:13" x14ac:dyDescent="0.25">
      <c r="A84" t="s">
        <v>146</v>
      </c>
      <c r="B84" s="1">
        <v>2007426</v>
      </c>
      <c r="C84">
        <v>37</v>
      </c>
      <c r="D84" t="str">
        <f t="shared" si="16"/>
        <v>S</v>
      </c>
      <c r="E84" s="5">
        <f t="shared" si="17"/>
        <v>0.50792999855878285</v>
      </c>
      <c r="F84">
        <v>28</v>
      </c>
      <c r="G84" t="str">
        <f t="shared" si="18"/>
        <v>S</v>
      </c>
      <c r="H84" s="5">
        <f t="shared" si="19"/>
        <v>0.36005224494695987</v>
      </c>
      <c r="I84">
        <v>7</v>
      </c>
      <c r="J84" t="str">
        <f t="shared" si="20"/>
        <v>W</v>
      </c>
      <c r="K84" s="5">
        <f t="shared" si="21"/>
        <v>-0.92501765001496972</v>
      </c>
      <c r="L84" s="5" t="s">
        <v>169</v>
      </c>
      <c r="M84" t="s">
        <v>169</v>
      </c>
    </row>
    <row r="85" spans="1:13" x14ac:dyDescent="0.25">
      <c r="A85" t="s">
        <v>94</v>
      </c>
      <c r="B85" s="1">
        <v>2007319</v>
      </c>
      <c r="C85">
        <v>15</v>
      </c>
      <c r="D85" t="str">
        <f t="shared" si="16"/>
        <v>W</v>
      </c>
      <c r="E85" s="5">
        <f t="shared" si="17"/>
        <v>-0.83136189469988997</v>
      </c>
      <c r="F85">
        <v>37</v>
      </c>
      <c r="G85" t="str">
        <f t="shared" si="18"/>
        <v>S</v>
      </c>
      <c r="H85" s="5">
        <f t="shared" si="19"/>
        <v>0.92922966233617343</v>
      </c>
      <c r="I85">
        <v>19</v>
      </c>
      <c r="J85" t="str">
        <f t="shared" si="20"/>
        <v>W</v>
      </c>
      <c r="K85" s="5">
        <f t="shared" si="21"/>
        <v>-0.16126310234537045</v>
      </c>
      <c r="L85" s="5" t="s">
        <v>169</v>
      </c>
      <c r="M85" t="s">
        <v>169</v>
      </c>
    </row>
    <row r="86" spans="1:13" x14ac:dyDescent="0.25">
      <c r="A86" t="s">
        <v>26</v>
      </c>
      <c r="B86" s="1">
        <v>2007166</v>
      </c>
      <c r="C86">
        <v>25</v>
      </c>
      <c r="D86" t="str">
        <f t="shared" si="16"/>
        <v>S</v>
      </c>
      <c r="E86" s="5">
        <f t="shared" si="17"/>
        <v>-0.22259285230958412</v>
      </c>
      <c r="F86">
        <v>26</v>
      </c>
      <c r="G86" s="8" t="str">
        <f t="shared" si="18"/>
        <v>S</v>
      </c>
      <c r="H86" s="5">
        <f t="shared" si="19"/>
        <v>0.23356837441602352</v>
      </c>
      <c r="I86">
        <v>20</v>
      </c>
      <c r="J86" t="str">
        <f t="shared" si="20"/>
        <v>S</v>
      </c>
      <c r="K86" s="5">
        <f t="shared" si="21"/>
        <v>-9.7616890039570511E-2</v>
      </c>
      <c r="L86" s="5">
        <f>AVERAGE(E86,H86,K86)</f>
        <v>-2.888045597771037E-2</v>
      </c>
      <c r="M86">
        <f>RANK(L86,$L$2:$L$164)</f>
        <v>75</v>
      </c>
    </row>
    <row r="87" spans="1:13" x14ac:dyDescent="0.25">
      <c r="A87" t="s">
        <v>143</v>
      </c>
      <c r="B87" s="1">
        <v>2007392</v>
      </c>
      <c r="C87">
        <v>19</v>
      </c>
      <c r="D87" t="str">
        <f t="shared" si="16"/>
        <v>W</v>
      </c>
      <c r="E87" s="5">
        <f t="shared" si="17"/>
        <v>-0.58785427774376764</v>
      </c>
      <c r="F87">
        <v>20</v>
      </c>
      <c r="G87" t="str">
        <f t="shared" si="18"/>
        <v>S</v>
      </c>
      <c r="H87" s="5">
        <f t="shared" si="19"/>
        <v>-0.14588323717678553</v>
      </c>
      <c r="I87">
        <v>30</v>
      </c>
      <c r="J87" t="str">
        <f t="shared" si="20"/>
        <v>S</v>
      </c>
      <c r="K87" s="5">
        <f t="shared" si="21"/>
        <v>0.5388452330184289</v>
      </c>
      <c r="L87" s="5" t="s">
        <v>169</v>
      </c>
      <c r="M87" t="s">
        <v>169</v>
      </c>
    </row>
    <row r="88" spans="1:13" x14ac:dyDescent="0.25">
      <c r="A88" t="s">
        <v>93</v>
      </c>
      <c r="B88" s="1">
        <v>2007317</v>
      </c>
      <c r="C88">
        <v>20</v>
      </c>
      <c r="D88" t="str">
        <f t="shared" si="16"/>
        <v>S</v>
      </c>
      <c r="E88" s="5">
        <f t="shared" si="17"/>
        <v>-0.52697737350473706</v>
      </c>
      <c r="F88">
        <v>26</v>
      </c>
      <c r="G88" s="8" t="str">
        <f t="shared" si="18"/>
        <v>S</v>
      </c>
      <c r="H88" s="5">
        <f t="shared" si="19"/>
        <v>0.23356837441602352</v>
      </c>
      <c r="I88">
        <v>23</v>
      </c>
      <c r="J88" t="str">
        <f t="shared" si="20"/>
        <v>S</v>
      </c>
      <c r="K88" s="5">
        <f t="shared" si="21"/>
        <v>9.3321746877829292E-2</v>
      </c>
      <c r="L88" s="5">
        <f>AVERAGE(E88,H88,K88)</f>
        <v>-6.6695750736961421E-2</v>
      </c>
      <c r="M88">
        <f>RANK(L88,$L$2:$L$164)</f>
        <v>76</v>
      </c>
    </row>
    <row r="89" spans="1:13" x14ac:dyDescent="0.25">
      <c r="A89" t="s">
        <v>20</v>
      </c>
      <c r="B89" s="1">
        <v>2007141</v>
      </c>
      <c r="C89">
        <v>42</v>
      </c>
      <c r="D89" t="str">
        <f t="shared" si="16"/>
        <v>S</v>
      </c>
      <c r="E89" s="5">
        <f t="shared" si="17"/>
        <v>0.81231451975393576</v>
      </c>
      <c r="F89">
        <v>0</v>
      </c>
      <c r="G89" t="str">
        <f t="shared" si="18"/>
        <v>W</v>
      </c>
      <c r="H89" s="5">
        <f t="shared" si="19"/>
        <v>-1.410721942486149</v>
      </c>
      <c r="I89">
        <v>27</v>
      </c>
      <c r="J89" t="str">
        <f t="shared" si="20"/>
        <v>S</v>
      </c>
      <c r="K89" s="5">
        <f t="shared" si="21"/>
        <v>0.34790659610102903</v>
      </c>
      <c r="L89" s="5" t="s">
        <v>169</v>
      </c>
      <c r="M89" t="s">
        <v>169</v>
      </c>
    </row>
    <row r="90" spans="1:13" x14ac:dyDescent="0.25">
      <c r="A90" t="s">
        <v>153</v>
      </c>
      <c r="B90" s="1">
        <v>2007102</v>
      </c>
      <c r="C90">
        <v>27</v>
      </c>
      <c r="D90" t="str">
        <f t="shared" si="16"/>
        <v>S</v>
      </c>
      <c r="E90" s="5">
        <f t="shared" si="17"/>
        <v>-0.10083904383152296</v>
      </c>
      <c r="F90">
        <v>20</v>
      </c>
      <c r="G90" s="8" t="str">
        <f t="shared" si="18"/>
        <v>S</v>
      </c>
      <c r="H90" s="5">
        <f t="shared" si="19"/>
        <v>-0.14588323717678553</v>
      </c>
      <c r="I90">
        <v>20</v>
      </c>
      <c r="J90" t="str">
        <f t="shared" si="20"/>
        <v>S</v>
      </c>
      <c r="K90" s="5">
        <f t="shared" si="21"/>
        <v>-9.7616890039570511E-2</v>
      </c>
      <c r="L90" s="5">
        <f>AVERAGE(E90,H90,K90)</f>
        <v>-0.11477972368262634</v>
      </c>
      <c r="M90">
        <f>RANK(L90,$L$2:$L$164)</f>
        <v>77</v>
      </c>
    </row>
    <row r="91" spans="1:13" x14ac:dyDescent="0.25">
      <c r="A91" t="s">
        <v>104</v>
      </c>
      <c r="B91" s="2">
        <v>2007331</v>
      </c>
      <c r="C91">
        <v>29</v>
      </c>
      <c r="D91" t="str">
        <f t="shared" si="16"/>
        <v>S</v>
      </c>
      <c r="E91" s="5">
        <f t="shared" si="17"/>
        <v>2.0914764646538211E-2</v>
      </c>
      <c r="F91">
        <v>21</v>
      </c>
      <c r="G91" t="str">
        <f t="shared" si="18"/>
        <v>S</v>
      </c>
      <c r="H91" s="5">
        <f t="shared" si="19"/>
        <v>-8.2641301911317369E-2</v>
      </c>
      <c r="I91">
        <v>17</v>
      </c>
      <c r="J91" t="str">
        <f t="shared" si="20"/>
        <v>W</v>
      </c>
      <c r="K91" s="5">
        <f t="shared" si="21"/>
        <v>-0.28855552695697034</v>
      </c>
      <c r="L91" s="5" t="s">
        <v>169</v>
      </c>
      <c r="M91" t="s">
        <v>169</v>
      </c>
    </row>
    <row r="92" spans="1:13" x14ac:dyDescent="0.25">
      <c r="A92" t="s">
        <v>38</v>
      </c>
      <c r="B92" s="1">
        <v>2007196</v>
      </c>
      <c r="C92">
        <v>23</v>
      </c>
      <c r="D92" t="str">
        <f t="shared" si="16"/>
        <v>S</v>
      </c>
      <c r="E92" s="5">
        <f t="shared" si="17"/>
        <v>-0.34434666078764531</v>
      </c>
      <c r="F92">
        <v>21</v>
      </c>
      <c r="G92" s="8" t="str">
        <f t="shared" si="18"/>
        <v>S</v>
      </c>
      <c r="H92" s="5">
        <f t="shared" si="19"/>
        <v>-8.2641301911317369E-2</v>
      </c>
      <c r="I92">
        <v>22</v>
      </c>
      <c r="J92" t="str">
        <f t="shared" si="20"/>
        <v>S</v>
      </c>
      <c r="K92" s="5">
        <f t="shared" si="21"/>
        <v>2.9675534572029361E-2</v>
      </c>
      <c r="L92" s="5">
        <f>AVERAGE(E92,H92,K92)</f>
        <v>-0.1324374760423111</v>
      </c>
      <c r="M92">
        <f>RANK(L92,$L$2:$L$164)</f>
        <v>78</v>
      </c>
    </row>
    <row r="93" spans="1:13" x14ac:dyDescent="0.25">
      <c r="A93" t="s">
        <v>19</v>
      </c>
      <c r="B93" s="1">
        <v>2007140</v>
      </c>
      <c r="C93">
        <v>19</v>
      </c>
      <c r="D93" t="str">
        <f t="shared" si="16"/>
        <v>W</v>
      </c>
      <c r="E93" s="5">
        <f t="shared" si="17"/>
        <v>-0.58785427774376764</v>
      </c>
      <c r="F93">
        <v>20</v>
      </c>
      <c r="G93" t="str">
        <f t="shared" si="18"/>
        <v>S</v>
      </c>
      <c r="H93" s="5">
        <f t="shared" si="19"/>
        <v>-0.14588323717678553</v>
      </c>
      <c r="I93">
        <v>25</v>
      </c>
      <c r="J93" t="str">
        <f t="shared" si="20"/>
        <v>S</v>
      </c>
      <c r="K93" s="5">
        <f t="shared" si="21"/>
        <v>0.22061417148942916</v>
      </c>
      <c r="L93" s="5" t="s">
        <v>169</v>
      </c>
      <c r="M93" t="s">
        <v>169</v>
      </c>
    </row>
    <row r="94" spans="1:13" x14ac:dyDescent="0.25">
      <c r="A94" t="s">
        <v>9</v>
      </c>
      <c r="B94" s="1">
        <v>2007128</v>
      </c>
      <c r="C94">
        <v>27</v>
      </c>
      <c r="D94" t="str">
        <f t="shared" si="16"/>
        <v>S</v>
      </c>
      <c r="E94" s="5">
        <f t="shared" si="17"/>
        <v>-0.10083904383152296</v>
      </c>
      <c r="F94">
        <v>19</v>
      </c>
      <c r="G94" t="str">
        <f t="shared" si="18"/>
        <v>W</v>
      </c>
      <c r="H94" s="5">
        <f t="shared" si="19"/>
        <v>-0.20912517244225373</v>
      </c>
      <c r="I94">
        <v>18</v>
      </c>
      <c r="J94" t="str">
        <f t="shared" si="20"/>
        <v>W</v>
      </c>
      <c r="K94" s="5">
        <f t="shared" si="21"/>
        <v>-0.22490931465117039</v>
      </c>
      <c r="L94" s="5" t="s">
        <v>169</v>
      </c>
      <c r="M94" t="s">
        <v>169</v>
      </c>
    </row>
    <row r="95" spans="1:13" x14ac:dyDescent="0.25">
      <c r="A95" t="s">
        <v>43</v>
      </c>
      <c r="B95" s="1">
        <v>2007203</v>
      </c>
      <c r="C95">
        <v>20</v>
      </c>
      <c r="D95" t="str">
        <f t="shared" si="16"/>
        <v>S</v>
      </c>
      <c r="E95" s="5">
        <f t="shared" si="17"/>
        <v>-0.52697737350473706</v>
      </c>
      <c r="F95">
        <v>22</v>
      </c>
      <c r="G95" s="8" t="str">
        <f t="shared" si="18"/>
        <v>S</v>
      </c>
      <c r="H95" s="5">
        <f t="shared" si="19"/>
        <v>-1.9399366645849191E-2</v>
      </c>
      <c r="I95">
        <v>21</v>
      </c>
      <c r="J95" t="str">
        <f t="shared" si="20"/>
        <v>S</v>
      </c>
      <c r="K95" s="5">
        <f t="shared" si="21"/>
        <v>-3.3970677733770577E-2</v>
      </c>
      <c r="L95" s="5">
        <f>AVERAGE(E95,H95,K95)</f>
        <v>-0.1934491392947856</v>
      </c>
      <c r="M95">
        <f>RANK(L95,$L$2:$L$164)</f>
        <v>79</v>
      </c>
    </row>
    <row r="96" spans="1:13" x14ac:dyDescent="0.25">
      <c r="A96" t="s">
        <v>117</v>
      </c>
      <c r="B96" s="1">
        <v>2007348</v>
      </c>
      <c r="C96">
        <v>26</v>
      </c>
      <c r="D96" t="str">
        <f t="shared" si="16"/>
        <v>S</v>
      </c>
      <c r="E96" s="5">
        <f t="shared" si="17"/>
        <v>-0.16171594807055353</v>
      </c>
      <c r="F96">
        <v>19</v>
      </c>
      <c r="G96" t="str">
        <f t="shared" si="18"/>
        <v>W</v>
      </c>
      <c r="H96" s="5">
        <f t="shared" si="19"/>
        <v>-0.20912517244225373</v>
      </c>
      <c r="I96">
        <v>18</v>
      </c>
      <c r="J96" t="str">
        <f t="shared" si="20"/>
        <v>W</v>
      </c>
      <c r="K96" s="5">
        <f t="shared" si="21"/>
        <v>-0.22490931465117039</v>
      </c>
      <c r="L96" s="5" t="s">
        <v>169</v>
      </c>
      <c r="M96" t="s">
        <v>169</v>
      </c>
    </row>
    <row r="97" spans="1:13" x14ac:dyDescent="0.25">
      <c r="A97" t="s">
        <v>18</v>
      </c>
      <c r="B97" s="1">
        <v>2007139</v>
      </c>
      <c r="C97">
        <v>31</v>
      </c>
      <c r="D97" t="str">
        <f t="shared" si="16"/>
        <v>S</v>
      </c>
      <c r="E97" s="5">
        <f t="shared" si="17"/>
        <v>0.14266857312459938</v>
      </c>
      <c r="F97">
        <v>18</v>
      </c>
      <c r="G97" t="str">
        <f t="shared" si="18"/>
        <v>W</v>
      </c>
      <c r="H97" s="5">
        <f t="shared" si="19"/>
        <v>-0.27236710770772188</v>
      </c>
      <c r="I97">
        <v>14</v>
      </c>
      <c r="J97" t="str">
        <f t="shared" si="20"/>
        <v>W</v>
      </c>
      <c r="K97" s="5">
        <f t="shared" si="21"/>
        <v>-0.47949416387437016</v>
      </c>
      <c r="L97" s="5" t="s">
        <v>169</v>
      </c>
      <c r="M97" t="s">
        <v>169</v>
      </c>
    </row>
    <row r="98" spans="1:13" x14ac:dyDescent="0.25">
      <c r="A98" t="s">
        <v>27</v>
      </c>
      <c r="B98" s="1">
        <v>2007167</v>
      </c>
      <c r="C98">
        <v>13</v>
      </c>
      <c r="D98" t="str">
        <f t="shared" ref="D98:D129" si="24">IF(C98="Absent","AB",IF(C98&gt;=67,"A",IF(C98&gt;=58,"B",IF(C98&gt;=43,"C",IF(C98&gt;=20,"S","W")))))</f>
        <v>W</v>
      </c>
      <c r="E98" s="5">
        <f t="shared" ref="E98:E129" si="25">(C98-$Q$12)/$Q$13</f>
        <v>-0.95311570317795113</v>
      </c>
      <c r="F98">
        <v>29</v>
      </c>
      <c r="G98" t="str">
        <f t="shared" ref="G98:G129" si="26">IF(F98="Absent","AB",IF(F98&gt;=67,"A",IF(F98&gt;=58,"B",IF(F98&gt;=43,"C",IF(F98&gt;=20,"S","W")))))</f>
        <v>S</v>
      </c>
      <c r="H98" s="5">
        <f t="shared" ref="H98:H129" si="27">(F98-$R$12)/$R$13</f>
        <v>0.42329418021242804</v>
      </c>
      <c r="I98">
        <v>20</v>
      </c>
      <c r="J98" t="str">
        <f t="shared" ref="J98:J129" si="28">IF(I98="Absent","AB",IF(I98&gt;=67,"A",IF(I98&gt;=58,"B",IF(I98&gt;=43,"C",IF(I98&gt;=20,"S","W")))))</f>
        <v>S</v>
      </c>
      <c r="K98" s="5">
        <f t="shared" ref="K98:K129" si="29">(I98-$S$12)/$S$13</f>
        <v>-9.7616890039570511E-2</v>
      </c>
      <c r="L98" s="5" t="s">
        <v>169</v>
      </c>
      <c r="M98" t="s">
        <v>169</v>
      </c>
    </row>
    <row r="99" spans="1:13" x14ac:dyDescent="0.25">
      <c r="A99" t="s">
        <v>152</v>
      </c>
      <c r="B99" s="1">
        <v>2007101</v>
      </c>
      <c r="C99">
        <v>27</v>
      </c>
      <c r="D99" t="str">
        <f t="shared" si="24"/>
        <v>S</v>
      </c>
      <c r="E99" s="5">
        <f t="shared" si="25"/>
        <v>-0.10083904383152296</v>
      </c>
      <c r="F99">
        <v>20</v>
      </c>
      <c r="G99" t="str">
        <f t="shared" si="26"/>
        <v>S</v>
      </c>
      <c r="H99" s="5">
        <f t="shared" si="27"/>
        <v>-0.14588323717678553</v>
      </c>
      <c r="I99">
        <v>15</v>
      </c>
      <c r="J99" t="str">
        <f t="shared" si="28"/>
        <v>W</v>
      </c>
      <c r="K99" s="5">
        <f t="shared" si="29"/>
        <v>-0.41584795156857018</v>
      </c>
      <c r="L99" s="5" t="s">
        <v>169</v>
      </c>
      <c r="M99" t="s">
        <v>169</v>
      </c>
    </row>
    <row r="100" spans="1:13" x14ac:dyDescent="0.25">
      <c r="A100" t="s">
        <v>74</v>
      </c>
      <c r="B100" s="1">
        <v>2007258</v>
      </c>
      <c r="C100">
        <v>27</v>
      </c>
      <c r="D100" t="str">
        <f t="shared" si="24"/>
        <v>S</v>
      </c>
      <c r="E100" s="5">
        <f t="shared" si="25"/>
        <v>-0.10083904383152296</v>
      </c>
      <c r="F100">
        <v>15</v>
      </c>
      <c r="G100" t="str">
        <f t="shared" si="26"/>
        <v>W</v>
      </c>
      <c r="H100" s="5">
        <f t="shared" si="27"/>
        <v>-0.4620929135041264</v>
      </c>
      <c r="I100">
        <v>19</v>
      </c>
      <c r="J100" t="str">
        <f t="shared" si="28"/>
        <v>W</v>
      </c>
      <c r="K100" s="5">
        <f t="shared" si="29"/>
        <v>-0.16126310234537045</v>
      </c>
      <c r="L100" s="5" t="s">
        <v>169</v>
      </c>
      <c r="M100" t="s">
        <v>169</v>
      </c>
    </row>
    <row r="101" spans="1:13" x14ac:dyDescent="0.25">
      <c r="A101" t="s">
        <v>98</v>
      </c>
      <c r="B101" s="2">
        <v>2007324</v>
      </c>
      <c r="C101">
        <v>25</v>
      </c>
      <c r="D101" t="str">
        <f t="shared" si="24"/>
        <v>S</v>
      </c>
      <c r="E101" s="5">
        <f t="shared" si="25"/>
        <v>-0.22259285230958412</v>
      </c>
      <c r="F101">
        <v>18</v>
      </c>
      <c r="G101" t="str">
        <f t="shared" si="26"/>
        <v>W</v>
      </c>
      <c r="H101" s="5">
        <f t="shared" si="27"/>
        <v>-0.27236710770772188</v>
      </c>
      <c r="I101">
        <v>17</v>
      </c>
      <c r="J101" t="str">
        <f t="shared" si="28"/>
        <v>W</v>
      </c>
      <c r="K101" s="5">
        <f t="shared" si="29"/>
        <v>-0.28855552695697034</v>
      </c>
      <c r="L101" s="5" t="s">
        <v>169</v>
      </c>
      <c r="M101" t="s">
        <v>169</v>
      </c>
    </row>
    <row r="102" spans="1:13" x14ac:dyDescent="0.25">
      <c r="A102" t="s">
        <v>66</v>
      </c>
      <c r="B102" s="1">
        <v>2007226</v>
      </c>
      <c r="C102">
        <v>20</v>
      </c>
      <c r="D102" t="str">
        <f t="shared" si="24"/>
        <v>S</v>
      </c>
      <c r="E102" s="5">
        <f t="shared" si="25"/>
        <v>-0.52697737350473706</v>
      </c>
      <c r="F102">
        <v>20</v>
      </c>
      <c r="G102" t="str">
        <f t="shared" si="26"/>
        <v>S</v>
      </c>
      <c r="H102" s="5">
        <f t="shared" si="27"/>
        <v>-0.14588323717678553</v>
      </c>
      <c r="I102">
        <v>19</v>
      </c>
      <c r="J102" t="str">
        <f t="shared" si="28"/>
        <v>W</v>
      </c>
      <c r="K102" s="5">
        <f t="shared" si="29"/>
        <v>-0.16126310234537045</v>
      </c>
      <c r="L102" s="5" t="s">
        <v>169</v>
      </c>
      <c r="M102" t="s">
        <v>169</v>
      </c>
    </row>
    <row r="103" spans="1:13" x14ac:dyDescent="0.25">
      <c r="A103" t="s">
        <v>80</v>
      </c>
      <c r="B103" s="1">
        <v>2007274</v>
      </c>
      <c r="C103">
        <v>9</v>
      </c>
      <c r="D103" t="str">
        <f t="shared" si="24"/>
        <v>W</v>
      </c>
      <c r="E103" s="5">
        <f t="shared" si="25"/>
        <v>-1.1966233201340735</v>
      </c>
      <c r="F103">
        <v>20</v>
      </c>
      <c r="G103" t="str">
        <f t="shared" si="26"/>
        <v>S</v>
      </c>
      <c r="H103" s="5">
        <f t="shared" si="27"/>
        <v>-0.14588323717678553</v>
      </c>
      <c r="I103">
        <v>29</v>
      </c>
      <c r="J103" t="str">
        <f t="shared" si="28"/>
        <v>S</v>
      </c>
      <c r="K103" s="5">
        <f t="shared" si="29"/>
        <v>0.47519902071262893</v>
      </c>
      <c r="L103" s="5" t="s">
        <v>169</v>
      </c>
      <c r="M103" t="s">
        <v>169</v>
      </c>
    </row>
    <row r="104" spans="1:13" x14ac:dyDescent="0.25">
      <c r="A104" t="s">
        <v>100</v>
      </c>
      <c r="B104" s="2">
        <v>2007326</v>
      </c>
      <c r="C104">
        <v>21</v>
      </c>
      <c r="D104" t="str">
        <f t="shared" si="24"/>
        <v>S</v>
      </c>
      <c r="E104" s="5">
        <f t="shared" si="25"/>
        <v>-0.46610046926570647</v>
      </c>
      <c r="F104">
        <v>17</v>
      </c>
      <c r="G104" t="str">
        <f t="shared" si="26"/>
        <v>W</v>
      </c>
      <c r="H104" s="5">
        <f t="shared" si="27"/>
        <v>-0.33560904297319005</v>
      </c>
      <c r="I104">
        <v>20</v>
      </c>
      <c r="J104" t="str">
        <f t="shared" si="28"/>
        <v>S</v>
      </c>
      <c r="K104" s="5">
        <f t="shared" si="29"/>
        <v>-9.7616890039570511E-2</v>
      </c>
      <c r="L104" s="5" t="s">
        <v>169</v>
      </c>
      <c r="M104" t="s">
        <v>169</v>
      </c>
    </row>
    <row r="105" spans="1:13" x14ac:dyDescent="0.25">
      <c r="A105" t="s">
        <v>156</v>
      </c>
      <c r="B105" s="1">
        <v>2007185</v>
      </c>
      <c r="C105">
        <v>22</v>
      </c>
      <c r="D105" t="str">
        <f t="shared" si="24"/>
        <v>S</v>
      </c>
      <c r="E105" s="5">
        <f t="shared" si="25"/>
        <v>-0.40522356502667589</v>
      </c>
      <c r="F105">
        <v>19</v>
      </c>
      <c r="G105" t="str">
        <f t="shared" si="26"/>
        <v>W</v>
      </c>
      <c r="H105" s="5">
        <f t="shared" si="27"/>
        <v>-0.20912517244225373</v>
      </c>
      <c r="I105">
        <v>17</v>
      </c>
      <c r="J105" t="str">
        <f t="shared" si="28"/>
        <v>W</v>
      </c>
      <c r="K105" s="5">
        <f t="shared" si="29"/>
        <v>-0.28855552695697034</v>
      </c>
      <c r="L105" s="5" t="s">
        <v>169</v>
      </c>
      <c r="M105" t="s">
        <v>169</v>
      </c>
    </row>
    <row r="106" spans="1:13" x14ac:dyDescent="0.25">
      <c r="A106" t="s">
        <v>5</v>
      </c>
      <c r="B106" s="1">
        <v>2007124</v>
      </c>
      <c r="C106">
        <v>31</v>
      </c>
      <c r="D106" t="str">
        <f t="shared" si="24"/>
        <v>S</v>
      </c>
      <c r="E106" s="5">
        <f t="shared" si="25"/>
        <v>0.14266857312459938</v>
      </c>
      <c r="F106">
        <v>0</v>
      </c>
      <c r="G106" t="str">
        <f t="shared" si="26"/>
        <v>W</v>
      </c>
      <c r="H106" s="5">
        <f t="shared" si="27"/>
        <v>-1.410721942486149</v>
      </c>
      <c r="I106">
        <v>27</v>
      </c>
      <c r="J106" t="str">
        <f t="shared" si="28"/>
        <v>S</v>
      </c>
      <c r="K106" s="5">
        <f t="shared" si="29"/>
        <v>0.34790659610102903</v>
      </c>
      <c r="L106" s="5" t="s">
        <v>169</v>
      </c>
      <c r="M106" t="s">
        <v>169</v>
      </c>
    </row>
    <row r="107" spans="1:13" x14ac:dyDescent="0.25">
      <c r="A107" t="s">
        <v>45</v>
      </c>
      <c r="B107" s="1">
        <v>2007205</v>
      </c>
      <c r="C107">
        <v>27</v>
      </c>
      <c r="D107" t="str">
        <f t="shared" si="24"/>
        <v>S</v>
      </c>
      <c r="E107" s="5">
        <f t="shared" si="25"/>
        <v>-0.10083904383152296</v>
      </c>
      <c r="F107">
        <v>19</v>
      </c>
      <c r="G107" t="str">
        <f t="shared" si="26"/>
        <v>W</v>
      </c>
      <c r="H107" s="5">
        <f t="shared" si="27"/>
        <v>-0.20912517244225373</v>
      </c>
      <c r="I107">
        <v>12</v>
      </c>
      <c r="J107" t="str">
        <f t="shared" si="28"/>
        <v>W</v>
      </c>
      <c r="K107" s="5">
        <f t="shared" si="29"/>
        <v>-0.60678658848597</v>
      </c>
      <c r="L107" s="5" t="s">
        <v>169</v>
      </c>
      <c r="M107" t="s">
        <v>169</v>
      </c>
    </row>
    <row r="108" spans="1:13" x14ac:dyDescent="0.25">
      <c r="A108" t="s">
        <v>6</v>
      </c>
      <c r="B108" s="1">
        <v>2007125</v>
      </c>
      <c r="C108">
        <v>28</v>
      </c>
      <c r="D108" t="str">
        <f t="shared" si="24"/>
        <v>S</v>
      </c>
      <c r="E108" s="5">
        <f t="shared" si="25"/>
        <v>-3.9962139592492375E-2</v>
      </c>
      <c r="F108">
        <v>20</v>
      </c>
      <c r="G108" t="str">
        <f t="shared" si="26"/>
        <v>S</v>
      </c>
      <c r="H108" s="5">
        <f t="shared" si="27"/>
        <v>-0.14588323717678553</v>
      </c>
      <c r="I108">
        <v>8</v>
      </c>
      <c r="J108" t="str">
        <f t="shared" si="28"/>
        <v>W</v>
      </c>
      <c r="K108" s="5">
        <f t="shared" si="29"/>
        <v>-0.8613714377091698</v>
      </c>
      <c r="L108" s="5" t="s">
        <v>169</v>
      </c>
      <c r="M108" t="s">
        <v>169</v>
      </c>
    </row>
    <row r="109" spans="1:13" x14ac:dyDescent="0.25">
      <c r="A109" t="s">
        <v>99</v>
      </c>
      <c r="B109" s="2">
        <v>2007325</v>
      </c>
      <c r="C109">
        <v>19</v>
      </c>
      <c r="D109" t="str">
        <f t="shared" si="24"/>
        <v>W</v>
      </c>
      <c r="E109" s="5">
        <f t="shared" si="25"/>
        <v>-0.58785427774376764</v>
      </c>
      <c r="F109">
        <v>17</v>
      </c>
      <c r="G109" t="str">
        <f t="shared" si="26"/>
        <v>W</v>
      </c>
      <c r="H109" s="5">
        <f t="shared" si="27"/>
        <v>-0.33560904297319005</v>
      </c>
      <c r="I109">
        <v>19</v>
      </c>
      <c r="J109" t="str">
        <f t="shared" si="28"/>
        <v>W</v>
      </c>
      <c r="K109" s="5">
        <f t="shared" si="29"/>
        <v>-0.16126310234537045</v>
      </c>
      <c r="L109" s="5" t="s">
        <v>169</v>
      </c>
      <c r="M109" t="s">
        <v>169</v>
      </c>
    </row>
    <row r="110" spans="1:13" x14ac:dyDescent="0.25">
      <c r="A110" t="s">
        <v>121</v>
      </c>
      <c r="B110" s="1">
        <v>2007352</v>
      </c>
      <c r="C110">
        <v>34</v>
      </c>
      <c r="D110" t="str">
        <f t="shared" si="24"/>
        <v>S</v>
      </c>
      <c r="E110" s="5">
        <f t="shared" si="25"/>
        <v>0.32529928584169115</v>
      </c>
      <c r="F110">
        <v>0</v>
      </c>
      <c r="G110" t="str">
        <f t="shared" si="26"/>
        <v>W</v>
      </c>
      <c r="H110" s="5">
        <f t="shared" si="27"/>
        <v>-1.410721942486149</v>
      </c>
      <c r="I110">
        <v>21</v>
      </c>
      <c r="J110" t="str">
        <f t="shared" si="28"/>
        <v>S</v>
      </c>
      <c r="K110" s="5">
        <f t="shared" si="29"/>
        <v>-3.3970677733770577E-2</v>
      </c>
      <c r="L110" s="5" t="s">
        <v>169</v>
      </c>
      <c r="M110" t="s">
        <v>169</v>
      </c>
    </row>
    <row r="111" spans="1:13" x14ac:dyDescent="0.25">
      <c r="A111" t="s">
        <v>165</v>
      </c>
      <c r="B111" s="1">
        <v>2007184</v>
      </c>
      <c r="C111">
        <v>38</v>
      </c>
      <c r="D111" t="str">
        <f t="shared" si="24"/>
        <v>S</v>
      </c>
      <c r="E111" s="5">
        <f t="shared" si="25"/>
        <v>0.56880690279781343</v>
      </c>
      <c r="F111">
        <v>15</v>
      </c>
      <c r="G111" t="str">
        <f t="shared" si="26"/>
        <v>W</v>
      </c>
      <c r="H111" s="5">
        <f t="shared" si="27"/>
        <v>-0.4620929135041264</v>
      </c>
      <c r="I111">
        <v>0</v>
      </c>
      <c r="J111" t="str">
        <f t="shared" si="28"/>
        <v>W</v>
      </c>
      <c r="K111" s="5">
        <f t="shared" si="29"/>
        <v>-1.3705411361555693</v>
      </c>
      <c r="L111" s="5" t="s">
        <v>169</v>
      </c>
      <c r="M111" t="s">
        <v>169</v>
      </c>
    </row>
    <row r="112" spans="1:13" x14ac:dyDescent="0.25">
      <c r="A112" t="s">
        <v>85</v>
      </c>
      <c r="B112" s="1">
        <v>2007302</v>
      </c>
      <c r="C112">
        <v>15</v>
      </c>
      <c r="D112" t="str">
        <f t="shared" si="24"/>
        <v>W</v>
      </c>
      <c r="E112" s="5">
        <f t="shared" si="25"/>
        <v>-0.83136189469988997</v>
      </c>
      <c r="F112">
        <v>27</v>
      </c>
      <c r="G112" t="str">
        <f t="shared" si="26"/>
        <v>S</v>
      </c>
      <c r="H112" s="5">
        <f t="shared" si="27"/>
        <v>0.29681030968149169</v>
      </c>
      <c r="I112">
        <v>10</v>
      </c>
      <c r="J112" t="str">
        <f t="shared" si="28"/>
        <v>W</v>
      </c>
      <c r="K112" s="5">
        <f t="shared" si="29"/>
        <v>-0.73407901309756984</v>
      </c>
      <c r="L112" s="5" t="s">
        <v>169</v>
      </c>
      <c r="M112" t="s">
        <v>169</v>
      </c>
    </row>
    <row r="113" spans="1:13" x14ac:dyDescent="0.25">
      <c r="A113" t="s">
        <v>59</v>
      </c>
      <c r="B113" s="1">
        <v>2007219</v>
      </c>
      <c r="C113">
        <v>20</v>
      </c>
      <c r="D113" t="str">
        <f t="shared" si="24"/>
        <v>S</v>
      </c>
      <c r="E113" s="5">
        <f t="shared" si="25"/>
        <v>-0.52697737350473706</v>
      </c>
      <c r="F113">
        <v>23</v>
      </c>
      <c r="G113" t="str">
        <f t="shared" si="26"/>
        <v>S</v>
      </c>
      <c r="H113" s="5">
        <f t="shared" si="27"/>
        <v>4.3842568619618986E-2</v>
      </c>
      <c r="I113">
        <v>8</v>
      </c>
      <c r="J113" t="str">
        <f t="shared" si="28"/>
        <v>W</v>
      </c>
      <c r="K113" s="5">
        <f t="shared" si="29"/>
        <v>-0.8613714377091698</v>
      </c>
      <c r="L113" s="5" t="s">
        <v>169</v>
      </c>
      <c r="M113" t="s">
        <v>169</v>
      </c>
    </row>
    <row r="114" spans="1:13" x14ac:dyDescent="0.25">
      <c r="A114" t="s">
        <v>140</v>
      </c>
      <c r="B114" s="1">
        <v>2007385</v>
      </c>
      <c r="C114">
        <v>14</v>
      </c>
      <c r="D114" t="str">
        <f t="shared" si="24"/>
        <v>W</v>
      </c>
      <c r="E114" s="5">
        <f t="shared" si="25"/>
        <v>-0.89223879893892055</v>
      </c>
      <c r="F114">
        <v>17</v>
      </c>
      <c r="G114" t="str">
        <f t="shared" si="26"/>
        <v>W</v>
      </c>
      <c r="H114" s="5">
        <f t="shared" si="27"/>
        <v>-0.33560904297319005</v>
      </c>
      <c r="I114">
        <v>19</v>
      </c>
      <c r="J114" t="str">
        <f t="shared" si="28"/>
        <v>W</v>
      </c>
      <c r="K114" s="5">
        <f t="shared" si="29"/>
        <v>-0.16126310234537045</v>
      </c>
      <c r="L114" s="5" t="s">
        <v>169</v>
      </c>
      <c r="M114" t="s">
        <v>169</v>
      </c>
    </row>
    <row r="115" spans="1:13" x14ac:dyDescent="0.25">
      <c r="A115" t="s">
        <v>109</v>
      </c>
      <c r="B115" s="1">
        <v>2007338</v>
      </c>
      <c r="C115">
        <v>12</v>
      </c>
      <c r="D115" t="str">
        <f t="shared" si="24"/>
        <v>W</v>
      </c>
      <c r="E115" s="5">
        <f t="shared" si="25"/>
        <v>-1.0139926074169818</v>
      </c>
      <c r="F115">
        <v>23</v>
      </c>
      <c r="G115" t="str">
        <f t="shared" si="26"/>
        <v>S</v>
      </c>
      <c r="H115" s="5">
        <f t="shared" si="27"/>
        <v>4.3842568619618986E-2</v>
      </c>
      <c r="I115">
        <v>14</v>
      </c>
      <c r="J115" t="str">
        <f t="shared" si="28"/>
        <v>W</v>
      </c>
      <c r="K115" s="5">
        <f t="shared" si="29"/>
        <v>-0.47949416387437016</v>
      </c>
      <c r="L115" s="5" t="s">
        <v>169</v>
      </c>
      <c r="M115" t="s">
        <v>169</v>
      </c>
    </row>
    <row r="116" spans="1:13" x14ac:dyDescent="0.25">
      <c r="A116" t="s">
        <v>48</v>
      </c>
      <c r="B116" s="1">
        <v>2007208</v>
      </c>
      <c r="C116">
        <v>16</v>
      </c>
      <c r="D116" t="str">
        <f t="shared" si="24"/>
        <v>W</v>
      </c>
      <c r="E116" s="5">
        <f t="shared" si="25"/>
        <v>-0.77048499046085939</v>
      </c>
      <c r="F116">
        <v>18</v>
      </c>
      <c r="G116" t="str">
        <f t="shared" si="26"/>
        <v>W</v>
      </c>
      <c r="H116" s="5">
        <f t="shared" si="27"/>
        <v>-0.27236710770772188</v>
      </c>
      <c r="I116">
        <v>15</v>
      </c>
      <c r="J116" t="str">
        <f t="shared" si="28"/>
        <v>W</v>
      </c>
      <c r="K116" s="5">
        <f t="shared" si="29"/>
        <v>-0.41584795156857018</v>
      </c>
      <c r="L116" s="5" t="s">
        <v>169</v>
      </c>
      <c r="M116" t="s">
        <v>169</v>
      </c>
    </row>
    <row r="117" spans="1:13" x14ac:dyDescent="0.25">
      <c r="A117" t="s">
        <v>129</v>
      </c>
      <c r="B117" s="1">
        <v>2007376</v>
      </c>
      <c r="C117">
        <v>20</v>
      </c>
      <c r="D117" t="str">
        <f t="shared" si="24"/>
        <v>S</v>
      </c>
      <c r="E117" s="5">
        <f t="shared" si="25"/>
        <v>-0.52697737350473706</v>
      </c>
      <c r="F117">
        <v>29</v>
      </c>
      <c r="G117" t="str">
        <f t="shared" si="26"/>
        <v>S</v>
      </c>
      <c r="H117" s="5">
        <f t="shared" si="27"/>
        <v>0.42329418021242804</v>
      </c>
      <c r="I117">
        <v>0</v>
      </c>
      <c r="J117" t="str">
        <f t="shared" si="28"/>
        <v>W</v>
      </c>
      <c r="K117" s="5">
        <f t="shared" si="29"/>
        <v>-1.3705411361555693</v>
      </c>
      <c r="L117" s="5" t="s">
        <v>169</v>
      </c>
      <c r="M117" t="s">
        <v>169</v>
      </c>
    </row>
    <row r="118" spans="1:13" hidden="1" x14ac:dyDescent="0.25">
      <c r="A118" t="s">
        <v>81</v>
      </c>
      <c r="B118" s="1">
        <v>2007280</v>
      </c>
      <c r="C118">
        <v>0</v>
      </c>
      <c r="D118" t="str">
        <f t="shared" si="24"/>
        <v>W</v>
      </c>
      <c r="E118" s="5">
        <f t="shared" si="25"/>
        <v>-1.7445154582853488</v>
      </c>
      <c r="F118">
        <v>23</v>
      </c>
      <c r="G118" t="str">
        <f t="shared" si="26"/>
        <v>S</v>
      </c>
      <c r="H118" s="5">
        <f t="shared" si="27"/>
        <v>4.3842568619618986E-2</v>
      </c>
      <c r="I118">
        <v>23</v>
      </c>
      <c r="J118" t="str">
        <f t="shared" si="28"/>
        <v>S</v>
      </c>
      <c r="K118" s="5">
        <f t="shared" si="29"/>
        <v>9.3321746877829292E-2</v>
      </c>
      <c r="L118" s="5" t="s">
        <v>169</v>
      </c>
      <c r="M118" t="s">
        <v>169</v>
      </c>
    </row>
    <row r="119" spans="1:13" x14ac:dyDescent="0.25">
      <c r="A119" t="s">
        <v>129</v>
      </c>
      <c r="B119" s="1">
        <v>2007362</v>
      </c>
      <c r="C119">
        <v>34</v>
      </c>
      <c r="D119" t="str">
        <f t="shared" si="24"/>
        <v>S</v>
      </c>
      <c r="E119" s="5">
        <f t="shared" si="25"/>
        <v>0.32529928584169115</v>
      </c>
      <c r="F119">
        <v>0</v>
      </c>
      <c r="G119" t="str">
        <f t="shared" si="26"/>
        <v>W</v>
      </c>
      <c r="H119" s="5">
        <f t="shared" si="27"/>
        <v>-1.410721942486149</v>
      </c>
      <c r="I119">
        <v>11</v>
      </c>
      <c r="J119" t="str">
        <f t="shared" si="28"/>
        <v>W</v>
      </c>
      <c r="K119" s="5">
        <f t="shared" si="29"/>
        <v>-0.67043280079176992</v>
      </c>
      <c r="L119" s="5" t="s">
        <v>169</v>
      </c>
      <c r="M119" t="s">
        <v>169</v>
      </c>
    </row>
    <row r="120" spans="1:13" x14ac:dyDescent="0.25">
      <c r="A120" t="s">
        <v>144</v>
      </c>
      <c r="B120" s="1">
        <v>2007395</v>
      </c>
      <c r="C120">
        <v>14</v>
      </c>
      <c r="D120" t="str">
        <f t="shared" si="24"/>
        <v>W</v>
      </c>
      <c r="E120" s="5">
        <f t="shared" si="25"/>
        <v>-0.89223879893892055</v>
      </c>
      <c r="F120">
        <v>18</v>
      </c>
      <c r="G120" t="str">
        <f t="shared" si="26"/>
        <v>W</v>
      </c>
      <c r="H120" s="5">
        <f t="shared" si="27"/>
        <v>-0.27236710770772188</v>
      </c>
      <c r="I120">
        <v>11</v>
      </c>
      <c r="J120" t="str">
        <f t="shared" si="28"/>
        <v>W</v>
      </c>
      <c r="K120" s="5">
        <f t="shared" si="29"/>
        <v>-0.67043280079176992</v>
      </c>
      <c r="L120" s="5" t="s">
        <v>169</v>
      </c>
      <c r="M120" t="s">
        <v>169</v>
      </c>
    </row>
    <row r="121" spans="1:13" x14ac:dyDescent="0.25">
      <c r="A121" t="s">
        <v>141</v>
      </c>
      <c r="B121" s="1">
        <v>2007387</v>
      </c>
      <c r="C121">
        <v>17</v>
      </c>
      <c r="D121" t="str">
        <f t="shared" si="24"/>
        <v>W</v>
      </c>
      <c r="E121" s="5">
        <f t="shared" si="25"/>
        <v>-0.7096080862218288</v>
      </c>
      <c r="F121">
        <v>13</v>
      </c>
      <c r="G121" t="str">
        <f t="shared" si="26"/>
        <v>W</v>
      </c>
      <c r="H121" s="5">
        <f t="shared" si="27"/>
        <v>-0.58857678403506275</v>
      </c>
      <c r="I121">
        <v>13</v>
      </c>
      <c r="J121" t="str">
        <f t="shared" si="28"/>
        <v>W</v>
      </c>
      <c r="K121" s="5">
        <f t="shared" si="29"/>
        <v>-0.54314037618017008</v>
      </c>
      <c r="L121" s="5" t="s">
        <v>169</v>
      </c>
      <c r="M121" t="s">
        <v>169</v>
      </c>
    </row>
    <row r="122" spans="1:13" x14ac:dyDescent="0.25">
      <c r="A122" t="s">
        <v>17</v>
      </c>
      <c r="B122" s="1">
        <v>2007138</v>
      </c>
      <c r="C122">
        <v>19</v>
      </c>
      <c r="D122" t="str">
        <f t="shared" si="24"/>
        <v>W</v>
      </c>
      <c r="E122" s="5">
        <f t="shared" si="25"/>
        <v>-0.58785427774376764</v>
      </c>
      <c r="F122">
        <v>12</v>
      </c>
      <c r="G122" t="str">
        <f t="shared" si="26"/>
        <v>W</v>
      </c>
      <c r="H122" s="5">
        <f t="shared" si="27"/>
        <v>-0.65181871930053092</v>
      </c>
      <c r="I122">
        <v>12</v>
      </c>
      <c r="J122" t="str">
        <f t="shared" si="28"/>
        <v>W</v>
      </c>
      <c r="K122" s="5">
        <f t="shared" si="29"/>
        <v>-0.60678658848597</v>
      </c>
      <c r="L122" s="5" t="s">
        <v>169</v>
      </c>
      <c r="M122" t="s">
        <v>169</v>
      </c>
    </row>
    <row r="123" spans="1:13" x14ac:dyDescent="0.25">
      <c r="A123" t="s">
        <v>44</v>
      </c>
      <c r="B123" s="1">
        <v>2007204</v>
      </c>
      <c r="C123">
        <v>0</v>
      </c>
      <c r="D123" t="str">
        <f t="shared" si="24"/>
        <v>W</v>
      </c>
      <c r="E123" s="5">
        <f t="shared" si="25"/>
        <v>-1.7445154582853488</v>
      </c>
      <c r="F123">
        <v>24</v>
      </c>
      <c r="G123" t="str">
        <f t="shared" si="26"/>
        <v>S</v>
      </c>
      <c r="H123" s="5">
        <f t="shared" si="27"/>
        <v>0.10708450388508717</v>
      </c>
      <c r="I123">
        <v>18</v>
      </c>
      <c r="J123" t="str">
        <f t="shared" si="28"/>
        <v>W</v>
      </c>
      <c r="K123" s="5">
        <f t="shared" si="29"/>
        <v>-0.22490931465117039</v>
      </c>
      <c r="L123" s="5" t="s">
        <v>169</v>
      </c>
      <c r="M123" t="s">
        <v>169</v>
      </c>
    </row>
    <row r="124" spans="1:13" x14ac:dyDescent="0.25">
      <c r="A124" t="s">
        <v>137</v>
      </c>
      <c r="B124" s="1">
        <v>2007377</v>
      </c>
      <c r="C124">
        <v>15</v>
      </c>
      <c r="D124" t="str">
        <f t="shared" si="24"/>
        <v>W</v>
      </c>
      <c r="E124" s="5">
        <f t="shared" si="25"/>
        <v>-0.83136189469988997</v>
      </c>
      <c r="F124">
        <v>16</v>
      </c>
      <c r="G124" t="str">
        <f t="shared" si="26"/>
        <v>W</v>
      </c>
      <c r="H124" s="5">
        <f t="shared" si="27"/>
        <v>-0.39885097823865823</v>
      </c>
      <c r="I124">
        <v>11</v>
      </c>
      <c r="J124" t="str">
        <f t="shared" si="28"/>
        <v>W</v>
      </c>
      <c r="K124" s="5">
        <f t="shared" si="29"/>
        <v>-0.67043280079176992</v>
      </c>
      <c r="L124" s="5" t="s">
        <v>169</v>
      </c>
      <c r="M124" t="s">
        <v>169</v>
      </c>
    </row>
    <row r="125" spans="1:13" x14ac:dyDescent="0.25">
      <c r="A125" t="s">
        <v>139</v>
      </c>
      <c r="B125" s="1">
        <v>2007384</v>
      </c>
      <c r="C125">
        <v>21</v>
      </c>
      <c r="D125" t="str">
        <f t="shared" si="24"/>
        <v>S</v>
      </c>
      <c r="E125" s="5">
        <f t="shared" si="25"/>
        <v>-0.46610046926570647</v>
      </c>
      <c r="F125">
        <v>0</v>
      </c>
      <c r="G125" t="str">
        <f t="shared" si="26"/>
        <v>W</v>
      </c>
      <c r="H125" s="5">
        <f t="shared" si="27"/>
        <v>-1.410721942486149</v>
      </c>
      <c r="I125">
        <v>19</v>
      </c>
      <c r="J125" t="str">
        <f t="shared" si="28"/>
        <v>W</v>
      </c>
      <c r="K125" s="5">
        <f t="shared" si="29"/>
        <v>-0.16126310234537045</v>
      </c>
      <c r="L125" s="5" t="s">
        <v>169</v>
      </c>
      <c r="M125" t="s">
        <v>169</v>
      </c>
    </row>
    <row r="126" spans="1:13" x14ac:dyDescent="0.25">
      <c r="A126" t="s">
        <v>31</v>
      </c>
      <c r="B126" s="1">
        <v>2007176</v>
      </c>
      <c r="C126">
        <v>25</v>
      </c>
      <c r="D126" t="str">
        <f t="shared" si="24"/>
        <v>S</v>
      </c>
      <c r="E126" s="5">
        <f t="shared" si="25"/>
        <v>-0.22259285230958412</v>
      </c>
      <c r="F126">
        <v>13</v>
      </c>
      <c r="G126" t="str">
        <f t="shared" si="26"/>
        <v>W</v>
      </c>
      <c r="H126" s="5">
        <f t="shared" si="27"/>
        <v>-0.58857678403506275</v>
      </c>
      <c r="I126">
        <v>0</v>
      </c>
      <c r="J126" t="str">
        <f t="shared" si="28"/>
        <v>W</v>
      </c>
      <c r="K126" s="5">
        <f t="shared" si="29"/>
        <v>-1.3705411361555693</v>
      </c>
      <c r="L126" s="5" t="s">
        <v>169</v>
      </c>
      <c r="M126" t="s">
        <v>169</v>
      </c>
    </row>
    <row r="127" spans="1:13" x14ac:dyDescent="0.25">
      <c r="A127" t="s">
        <v>87</v>
      </c>
      <c r="B127" s="1">
        <v>2007304</v>
      </c>
      <c r="C127">
        <v>0</v>
      </c>
      <c r="D127" t="str">
        <f t="shared" si="24"/>
        <v>W</v>
      </c>
      <c r="E127" s="5">
        <f t="shared" si="25"/>
        <v>-1.7445154582853488</v>
      </c>
      <c r="F127">
        <v>37</v>
      </c>
      <c r="G127" t="str">
        <f t="shared" si="26"/>
        <v>S</v>
      </c>
      <c r="H127" s="5">
        <f t="shared" si="27"/>
        <v>0.92922966233617343</v>
      </c>
      <c r="I127">
        <v>0</v>
      </c>
      <c r="J127" t="str">
        <f t="shared" si="28"/>
        <v>W</v>
      </c>
      <c r="K127" s="5">
        <f t="shared" si="29"/>
        <v>-1.3705411361555693</v>
      </c>
      <c r="L127" s="5" t="s">
        <v>169</v>
      </c>
      <c r="M127" t="s">
        <v>169</v>
      </c>
    </row>
    <row r="128" spans="1:13" x14ac:dyDescent="0.25">
      <c r="A128" t="s">
        <v>138</v>
      </c>
      <c r="B128" s="1">
        <v>2007378</v>
      </c>
      <c r="C128">
        <v>14</v>
      </c>
      <c r="D128" t="str">
        <f t="shared" si="24"/>
        <v>W</v>
      </c>
      <c r="E128" s="5">
        <f t="shared" si="25"/>
        <v>-0.89223879893892055</v>
      </c>
      <c r="F128">
        <v>23</v>
      </c>
      <c r="G128" t="str">
        <f t="shared" si="26"/>
        <v>S</v>
      </c>
      <c r="H128" s="5">
        <f t="shared" si="27"/>
        <v>4.3842568619618986E-2</v>
      </c>
      <c r="I128">
        <v>0</v>
      </c>
      <c r="J128" t="str">
        <f t="shared" si="28"/>
        <v>W</v>
      </c>
      <c r="K128" s="5">
        <f t="shared" si="29"/>
        <v>-1.3705411361555693</v>
      </c>
      <c r="L128" s="5" t="s">
        <v>169</v>
      </c>
      <c r="M128" t="s">
        <v>169</v>
      </c>
    </row>
    <row r="129" spans="1:13" x14ac:dyDescent="0.25">
      <c r="A129" t="s">
        <v>2</v>
      </c>
      <c r="B129" s="1">
        <v>2007121</v>
      </c>
      <c r="C129">
        <v>20</v>
      </c>
      <c r="D129" t="str">
        <f t="shared" si="24"/>
        <v>S</v>
      </c>
      <c r="E129" s="5">
        <f t="shared" si="25"/>
        <v>-0.52697737350473706</v>
      </c>
      <c r="F129">
        <v>17</v>
      </c>
      <c r="G129" t="str">
        <f t="shared" si="26"/>
        <v>W</v>
      </c>
      <c r="H129" s="5">
        <f t="shared" si="27"/>
        <v>-0.33560904297319005</v>
      </c>
      <c r="I129">
        <v>0</v>
      </c>
      <c r="J129" t="str">
        <f t="shared" si="28"/>
        <v>W</v>
      </c>
      <c r="K129" s="5">
        <f t="shared" si="29"/>
        <v>-1.3705411361555693</v>
      </c>
      <c r="L129" s="5" t="s">
        <v>169</v>
      </c>
      <c r="M129" t="s">
        <v>169</v>
      </c>
    </row>
    <row r="130" spans="1:13" x14ac:dyDescent="0.25">
      <c r="A130" t="s">
        <v>35</v>
      </c>
      <c r="B130" s="1">
        <v>2007180</v>
      </c>
      <c r="C130">
        <v>0</v>
      </c>
      <c r="D130" t="str">
        <f t="shared" ref="D130:D161" si="30">IF(C130="Absent","AB",IF(C130&gt;=67,"A",IF(C130&gt;=58,"B",IF(C130&gt;=43,"C",IF(C130&gt;=20,"S","W")))))</f>
        <v>W</v>
      </c>
      <c r="E130" s="5">
        <f t="shared" ref="E130:E164" si="31">(C130-$Q$12)/$Q$13</f>
        <v>-1.7445154582853488</v>
      </c>
      <c r="F130">
        <v>15</v>
      </c>
      <c r="G130" t="str">
        <f t="shared" ref="G130:G161" si="32">IF(F130="Absent","AB",IF(F130&gt;=67,"A",IF(F130&gt;=58,"B",IF(F130&gt;=43,"C",IF(F130&gt;=20,"S","W")))))</f>
        <v>W</v>
      </c>
      <c r="H130" s="5">
        <f t="shared" ref="H130:H164" si="33">(F130-$R$12)/$R$13</f>
        <v>-0.4620929135041264</v>
      </c>
      <c r="I130">
        <v>20</v>
      </c>
      <c r="J130" t="str">
        <f t="shared" ref="J130:J161" si="34">IF(I130="Absent","AB",IF(I130&gt;=67,"A",IF(I130&gt;=58,"B",IF(I130&gt;=43,"C",IF(I130&gt;=20,"S","W")))))</f>
        <v>S</v>
      </c>
      <c r="K130" s="5">
        <f t="shared" ref="K130:K164" si="35">(I130-$S$12)/$S$13</f>
        <v>-9.7616890039570511E-2</v>
      </c>
      <c r="L130" s="5" t="s">
        <v>169</v>
      </c>
      <c r="M130" t="s">
        <v>169</v>
      </c>
    </row>
    <row r="131" spans="1:13" x14ac:dyDescent="0.25">
      <c r="A131" t="s">
        <v>88</v>
      </c>
      <c r="B131" s="1">
        <v>2007305</v>
      </c>
      <c r="C131">
        <v>12</v>
      </c>
      <c r="D131" t="str">
        <f t="shared" si="30"/>
        <v>W</v>
      </c>
      <c r="E131" s="5">
        <f t="shared" si="31"/>
        <v>-1.0139926074169818</v>
      </c>
      <c r="F131">
        <v>0</v>
      </c>
      <c r="G131" t="str">
        <f t="shared" si="32"/>
        <v>W</v>
      </c>
      <c r="H131" s="5">
        <f t="shared" si="33"/>
        <v>-1.410721942486149</v>
      </c>
      <c r="I131">
        <v>22</v>
      </c>
      <c r="J131" t="str">
        <f t="shared" si="34"/>
        <v>S</v>
      </c>
      <c r="K131" s="5">
        <f t="shared" si="35"/>
        <v>2.9675534572029361E-2</v>
      </c>
      <c r="L131" s="5" t="s">
        <v>169</v>
      </c>
      <c r="M131" t="s">
        <v>169</v>
      </c>
    </row>
    <row r="132" spans="1:13" x14ac:dyDescent="0.25">
      <c r="A132" t="s">
        <v>22</v>
      </c>
      <c r="B132" s="1">
        <v>2007162</v>
      </c>
      <c r="C132">
        <v>16</v>
      </c>
      <c r="D132" t="str">
        <f t="shared" si="30"/>
        <v>W</v>
      </c>
      <c r="E132" s="5">
        <f t="shared" si="31"/>
        <v>-0.77048499046085939</v>
      </c>
      <c r="F132">
        <v>18</v>
      </c>
      <c r="G132" t="str">
        <f t="shared" si="32"/>
        <v>W</v>
      </c>
      <c r="H132" s="5">
        <f t="shared" si="33"/>
        <v>-0.27236710770772188</v>
      </c>
      <c r="I132">
        <v>0</v>
      </c>
      <c r="J132" t="str">
        <f t="shared" si="34"/>
        <v>W</v>
      </c>
      <c r="K132" s="5">
        <f t="shared" si="35"/>
        <v>-1.3705411361555693</v>
      </c>
      <c r="L132" s="5" t="s">
        <v>169</v>
      </c>
      <c r="M132" t="s">
        <v>169</v>
      </c>
    </row>
    <row r="133" spans="1:13" x14ac:dyDescent="0.25">
      <c r="A133" t="s">
        <v>155</v>
      </c>
      <c r="B133" s="1">
        <v>2007283</v>
      </c>
      <c r="C133">
        <v>6</v>
      </c>
      <c r="D133" t="str">
        <f t="shared" si="30"/>
        <v>W</v>
      </c>
      <c r="E133" s="5">
        <f t="shared" si="31"/>
        <v>-1.3792540328511653</v>
      </c>
      <c r="F133">
        <v>18</v>
      </c>
      <c r="G133" t="str">
        <f t="shared" si="32"/>
        <v>W</v>
      </c>
      <c r="H133" s="5">
        <f t="shared" si="33"/>
        <v>-0.27236710770772188</v>
      </c>
      <c r="I133">
        <v>9</v>
      </c>
      <c r="J133" t="str">
        <f t="shared" si="34"/>
        <v>W</v>
      </c>
      <c r="K133" s="5">
        <f t="shared" si="35"/>
        <v>-0.79772522540336988</v>
      </c>
      <c r="L133" s="5" t="s">
        <v>169</v>
      </c>
      <c r="M133" t="s">
        <v>169</v>
      </c>
    </row>
    <row r="134" spans="1:13" x14ac:dyDescent="0.25">
      <c r="A134" t="s">
        <v>125</v>
      </c>
      <c r="B134" s="1">
        <v>2007357</v>
      </c>
      <c r="C134">
        <v>17</v>
      </c>
      <c r="D134" t="str">
        <f t="shared" si="30"/>
        <v>W</v>
      </c>
      <c r="E134" s="5">
        <f t="shared" si="31"/>
        <v>-0.7096080862218288</v>
      </c>
      <c r="F134">
        <v>0</v>
      </c>
      <c r="G134" t="str">
        <f t="shared" si="32"/>
        <v>W</v>
      </c>
      <c r="H134" s="5">
        <f t="shared" si="33"/>
        <v>-1.410721942486149</v>
      </c>
      <c r="I134">
        <v>14</v>
      </c>
      <c r="J134" t="str">
        <f t="shared" si="34"/>
        <v>W</v>
      </c>
      <c r="K134" s="5">
        <f t="shared" si="35"/>
        <v>-0.47949416387437016</v>
      </c>
      <c r="L134" s="5" t="s">
        <v>169</v>
      </c>
      <c r="M134" t="s">
        <v>169</v>
      </c>
    </row>
    <row r="135" spans="1:13" x14ac:dyDescent="0.25">
      <c r="A135" t="s">
        <v>7</v>
      </c>
      <c r="B135" s="1">
        <v>2007126</v>
      </c>
      <c r="C135">
        <v>31</v>
      </c>
      <c r="D135" t="str">
        <f t="shared" si="30"/>
        <v>S</v>
      </c>
      <c r="E135" s="5">
        <f t="shared" si="31"/>
        <v>0.14266857312459938</v>
      </c>
      <c r="F135">
        <v>0</v>
      </c>
      <c r="G135" t="str">
        <f t="shared" si="32"/>
        <v>W</v>
      </c>
      <c r="H135" s="5">
        <f t="shared" si="33"/>
        <v>-1.410721942486149</v>
      </c>
      <c r="I135">
        <v>0</v>
      </c>
      <c r="J135" t="str">
        <f t="shared" si="34"/>
        <v>W</v>
      </c>
      <c r="K135" s="5">
        <f t="shared" si="35"/>
        <v>-1.3705411361555693</v>
      </c>
      <c r="L135" s="5" t="s">
        <v>169</v>
      </c>
      <c r="M135" t="s">
        <v>169</v>
      </c>
    </row>
    <row r="136" spans="1:13" x14ac:dyDescent="0.25">
      <c r="A136" t="s">
        <v>8</v>
      </c>
      <c r="B136" s="1">
        <v>2007127</v>
      </c>
      <c r="C136">
        <v>30</v>
      </c>
      <c r="D136" t="str">
        <f t="shared" si="30"/>
        <v>S</v>
      </c>
      <c r="E136" s="5">
        <f t="shared" si="31"/>
        <v>8.1791668885568797E-2</v>
      </c>
      <c r="F136">
        <v>0</v>
      </c>
      <c r="G136" t="str">
        <f t="shared" si="32"/>
        <v>W</v>
      </c>
      <c r="H136" s="5">
        <f t="shared" si="33"/>
        <v>-1.410721942486149</v>
      </c>
      <c r="I136">
        <v>0</v>
      </c>
      <c r="J136" t="str">
        <f t="shared" si="34"/>
        <v>W</v>
      </c>
      <c r="K136" s="5">
        <f t="shared" si="35"/>
        <v>-1.3705411361555693</v>
      </c>
      <c r="L136" s="5" t="s">
        <v>169</v>
      </c>
      <c r="M136" t="s">
        <v>169</v>
      </c>
    </row>
    <row r="137" spans="1:13" x14ac:dyDescent="0.25">
      <c r="A137" t="s">
        <v>136</v>
      </c>
      <c r="B137" s="1">
        <v>2007372</v>
      </c>
      <c r="C137">
        <v>14</v>
      </c>
      <c r="D137" t="str">
        <f t="shared" si="30"/>
        <v>W</v>
      </c>
      <c r="E137" s="5">
        <f t="shared" si="31"/>
        <v>-0.89223879893892055</v>
      </c>
      <c r="F137">
        <v>0</v>
      </c>
      <c r="G137" t="str">
        <f t="shared" si="32"/>
        <v>W</v>
      </c>
      <c r="H137" s="5">
        <f t="shared" si="33"/>
        <v>-1.410721942486149</v>
      </c>
      <c r="I137">
        <v>12</v>
      </c>
      <c r="J137" t="str">
        <f t="shared" si="34"/>
        <v>W</v>
      </c>
      <c r="K137" s="5">
        <f t="shared" si="35"/>
        <v>-0.60678658848597</v>
      </c>
      <c r="L137" s="5" t="s">
        <v>169</v>
      </c>
      <c r="M137" t="s">
        <v>169</v>
      </c>
    </row>
    <row r="138" spans="1:13" x14ac:dyDescent="0.25">
      <c r="A138" t="s">
        <v>112</v>
      </c>
      <c r="B138" s="1">
        <v>2007343</v>
      </c>
      <c r="C138">
        <v>25</v>
      </c>
      <c r="D138" t="str">
        <f t="shared" si="30"/>
        <v>S</v>
      </c>
      <c r="E138" s="5">
        <f t="shared" si="31"/>
        <v>-0.22259285230958412</v>
      </c>
      <c r="F138">
        <v>0</v>
      </c>
      <c r="G138" t="str">
        <f t="shared" si="32"/>
        <v>W</v>
      </c>
      <c r="H138" s="5">
        <f t="shared" si="33"/>
        <v>-1.410721942486149</v>
      </c>
      <c r="I138">
        <v>0</v>
      </c>
      <c r="J138" t="str">
        <f t="shared" si="34"/>
        <v>W</v>
      </c>
      <c r="K138" s="5">
        <f t="shared" si="35"/>
        <v>-1.3705411361555693</v>
      </c>
      <c r="L138" s="5" t="s">
        <v>169</v>
      </c>
      <c r="M138" t="s">
        <v>169</v>
      </c>
    </row>
    <row r="139" spans="1:13" x14ac:dyDescent="0.25">
      <c r="A139" t="s">
        <v>60</v>
      </c>
      <c r="B139" s="1">
        <v>2007220</v>
      </c>
      <c r="C139">
        <v>12</v>
      </c>
      <c r="D139" t="str">
        <f t="shared" si="30"/>
        <v>W</v>
      </c>
      <c r="E139" s="5">
        <f t="shared" si="31"/>
        <v>-1.0139926074169818</v>
      </c>
      <c r="F139">
        <v>0</v>
      </c>
      <c r="G139" t="str">
        <f t="shared" si="32"/>
        <v>W</v>
      </c>
      <c r="H139" s="5">
        <f t="shared" si="33"/>
        <v>-1.410721942486149</v>
      </c>
      <c r="I139">
        <v>12</v>
      </c>
      <c r="J139" t="str">
        <f t="shared" si="34"/>
        <v>W</v>
      </c>
      <c r="K139" s="5">
        <f t="shared" si="35"/>
        <v>-0.60678658848597</v>
      </c>
      <c r="L139" s="5" t="s">
        <v>169</v>
      </c>
      <c r="M139" t="s">
        <v>169</v>
      </c>
    </row>
    <row r="140" spans="1:13" x14ac:dyDescent="0.25">
      <c r="A140" t="s">
        <v>61</v>
      </c>
      <c r="B140" s="1">
        <v>2007221</v>
      </c>
      <c r="C140">
        <v>24</v>
      </c>
      <c r="D140" t="str">
        <f t="shared" si="30"/>
        <v>S</v>
      </c>
      <c r="E140" s="5">
        <f t="shared" si="31"/>
        <v>-0.28346975654861473</v>
      </c>
      <c r="F140">
        <v>0</v>
      </c>
      <c r="G140" t="str">
        <f t="shared" si="32"/>
        <v>W</v>
      </c>
      <c r="H140" s="5">
        <f t="shared" si="33"/>
        <v>-1.410721942486149</v>
      </c>
      <c r="I140">
        <v>0</v>
      </c>
      <c r="J140" t="str">
        <f t="shared" si="34"/>
        <v>W</v>
      </c>
      <c r="K140" s="5">
        <f t="shared" si="35"/>
        <v>-1.3705411361555693</v>
      </c>
      <c r="L140" s="5" t="s">
        <v>169</v>
      </c>
      <c r="M140" t="s">
        <v>169</v>
      </c>
    </row>
    <row r="141" spans="1:13" x14ac:dyDescent="0.25">
      <c r="A141" t="s">
        <v>134</v>
      </c>
      <c r="B141" s="1">
        <v>2007367</v>
      </c>
      <c r="C141">
        <v>12</v>
      </c>
      <c r="D141" t="str">
        <f t="shared" si="30"/>
        <v>W</v>
      </c>
      <c r="E141" s="5">
        <f t="shared" si="31"/>
        <v>-1.0139926074169818</v>
      </c>
      <c r="F141">
        <v>0</v>
      </c>
      <c r="G141" t="str">
        <f t="shared" si="32"/>
        <v>W</v>
      </c>
      <c r="H141" s="5">
        <f t="shared" si="33"/>
        <v>-1.410721942486149</v>
      </c>
      <c r="I141">
        <v>11</v>
      </c>
      <c r="J141" t="str">
        <f t="shared" si="34"/>
        <v>W</v>
      </c>
      <c r="K141" s="5">
        <f t="shared" si="35"/>
        <v>-0.67043280079176992</v>
      </c>
      <c r="L141" s="5" t="s">
        <v>169</v>
      </c>
      <c r="M141" t="s">
        <v>169</v>
      </c>
    </row>
    <row r="142" spans="1:13" x14ac:dyDescent="0.25">
      <c r="A142" t="s">
        <v>159</v>
      </c>
      <c r="B142" s="1">
        <v>2007423</v>
      </c>
      <c r="C142">
        <v>22</v>
      </c>
      <c r="D142" t="str">
        <f t="shared" si="30"/>
        <v>S</v>
      </c>
      <c r="E142" s="5">
        <f t="shared" si="31"/>
        <v>-0.40522356502667589</v>
      </c>
      <c r="F142">
        <v>0</v>
      </c>
      <c r="G142" t="str">
        <f t="shared" si="32"/>
        <v>W</v>
      </c>
      <c r="H142" s="5">
        <f t="shared" si="33"/>
        <v>-1.410721942486149</v>
      </c>
      <c r="I142">
        <v>0</v>
      </c>
      <c r="J142" t="str">
        <f t="shared" si="34"/>
        <v>W</v>
      </c>
      <c r="K142" s="5">
        <f t="shared" si="35"/>
        <v>-1.3705411361555693</v>
      </c>
      <c r="L142" s="5" t="s">
        <v>169</v>
      </c>
      <c r="M142" t="s">
        <v>169</v>
      </c>
    </row>
    <row r="143" spans="1:13" x14ac:dyDescent="0.25">
      <c r="A143" t="s">
        <v>10</v>
      </c>
      <c r="B143" s="1">
        <v>2007129</v>
      </c>
      <c r="C143">
        <v>21</v>
      </c>
      <c r="D143" t="str">
        <f t="shared" si="30"/>
        <v>S</v>
      </c>
      <c r="E143" s="5">
        <f t="shared" si="31"/>
        <v>-0.46610046926570647</v>
      </c>
      <c r="F143">
        <v>0</v>
      </c>
      <c r="G143" t="str">
        <f t="shared" si="32"/>
        <v>W</v>
      </c>
      <c r="H143" s="5">
        <f t="shared" si="33"/>
        <v>-1.410721942486149</v>
      </c>
      <c r="I143">
        <v>0</v>
      </c>
      <c r="J143" t="str">
        <f t="shared" si="34"/>
        <v>W</v>
      </c>
      <c r="K143" s="5">
        <f t="shared" si="35"/>
        <v>-1.3705411361555693</v>
      </c>
      <c r="L143" s="5" t="s">
        <v>169</v>
      </c>
      <c r="M143" t="s">
        <v>169</v>
      </c>
    </row>
    <row r="144" spans="1:13" x14ac:dyDescent="0.25">
      <c r="A144" t="s">
        <v>166</v>
      </c>
      <c r="B144" s="1">
        <v>2007191</v>
      </c>
      <c r="C144">
        <v>21</v>
      </c>
      <c r="D144" t="str">
        <f t="shared" si="30"/>
        <v>S</v>
      </c>
      <c r="E144" s="5">
        <f t="shared" si="31"/>
        <v>-0.46610046926570647</v>
      </c>
      <c r="F144">
        <v>0</v>
      </c>
      <c r="G144" t="str">
        <f t="shared" si="32"/>
        <v>W</v>
      </c>
      <c r="H144" s="5">
        <f t="shared" si="33"/>
        <v>-1.410721942486149</v>
      </c>
      <c r="I144">
        <v>0</v>
      </c>
      <c r="J144" t="str">
        <f t="shared" si="34"/>
        <v>W</v>
      </c>
      <c r="K144" s="5">
        <f t="shared" si="35"/>
        <v>-1.3705411361555693</v>
      </c>
      <c r="L144" s="5" t="s">
        <v>169</v>
      </c>
      <c r="M144" t="s">
        <v>169</v>
      </c>
    </row>
    <row r="145" spans="1:13" x14ac:dyDescent="0.25">
      <c r="A145" t="s">
        <v>86</v>
      </c>
      <c r="B145" s="1">
        <v>2007303</v>
      </c>
      <c r="C145">
        <v>19</v>
      </c>
      <c r="D145" t="str">
        <f t="shared" si="30"/>
        <v>W</v>
      </c>
      <c r="E145" s="5">
        <f t="shared" si="31"/>
        <v>-0.58785427774376764</v>
      </c>
      <c r="F145">
        <v>0</v>
      </c>
      <c r="G145" t="str">
        <f t="shared" si="32"/>
        <v>W</v>
      </c>
      <c r="H145" s="5">
        <f t="shared" si="33"/>
        <v>-1.410721942486149</v>
      </c>
      <c r="I145">
        <v>0</v>
      </c>
      <c r="J145" t="str">
        <f t="shared" si="34"/>
        <v>W</v>
      </c>
      <c r="K145" s="5">
        <f t="shared" si="35"/>
        <v>-1.3705411361555693</v>
      </c>
      <c r="L145" s="5" t="s">
        <v>169</v>
      </c>
      <c r="M145" t="s">
        <v>169</v>
      </c>
    </row>
    <row r="146" spans="1:13" x14ac:dyDescent="0.25">
      <c r="A146" t="s">
        <v>13</v>
      </c>
      <c r="B146" s="1">
        <v>2007132</v>
      </c>
      <c r="C146">
        <v>15</v>
      </c>
      <c r="D146" t="str">
        <f t="shared" si="30"/>
        <v>W</v>
      </c>
      <c r="E146" s="5">
        <f t="shared" si="31"/>
        <v>-0.83136189469988997</v>
      </c>
      <c r="F146">
        <v>0</v>
      </c>
      <c r="G146" t="str">
        <f t="shared" si="32"/>
        <v>W</v>
      </c>
      <c r="H146" s="5">
        <f t="shared" si="33"/>
        <v>-1.410721942486149</v>
      </c>
      <c r="I146">
        <v>0</v>
      </c>
      <c r="J146" t="str">
        <f t="shared" si="34"/>
        <v>W</v>
      </c>
      <c r="K146" s="5">
        <f t="shared" si="35"/>
        <v>-1.3705411361555693</v>
      </c>
      <c r="L146" s="5" t="s">
        <v>169</v>
      </c>
      <c r="M146" t="s">
        <v>169</v>
      </c>
    </row>
    <row r="147" spans="1:13" x14ac:dyDescent="0.25">
      <c r="A147" t="s">
        <v>0</v>
      </c>
      <c r="B147" s="1">
        <v>2007100</v>
      </c>
      <c r="C147">
        <v>12</v>
      </c>
      <c r="D147" t="str">
        <f t="shared" si="30"/>
        <v>W</v>
      </c>
      <c r="E147" s="5">
        <f t="shared" si="31"/>
        <v>-1.0139926074169818</v>
      </c>
      <c r="F147">
        <v>0</v>
      </c>
      <c r="G147" t="str">
        <f t="shared" si="32"/>
        <v>W</v>
      </c>
      <c r="H147" s="5">
        <f t="shared" si="33"/>
        <v>-1.410721942486149</v>
      </c>
      <c r="I147">
        <v>0</v>
      </c>
      <c r="J147" t="str">
        <f t="shared" si="34"/>
        <v>W</v>
      </c>
      <c r="K147" s="5">
        <f t="shared" si="35"/>
        <v>-1.3705411361555693</v>
      </c>
      <c r="L147" s="5" t="s">
        <v>169</v>
      </c>
      <c r="M147" t="s">
        <v>169</v>
      </c>
    </row>
    <row r="148" spans="1:13" x14ac:dyDescent="0.25">
      <c r="A148" t="s">
        <v>11</v>
      </c>
      <c r="B148" s="1">
        <v>2007130</v>
      </c>
      <c r="C148">
        <v>12</v>
      </c>
      <c r="D148" t="str">
        <f t="shared" si="30"/>
        <v>W</v>
      </c>
      <c r="E148" s="5">
        <f t="shared" si="31"/>
        <v>-1.0139926074169818</v>
      </c>
      <c r="F148">
        <v>0</v>
      </c>
      <c r="G148" t="str">
        <f t="shared" si="32"/>
        <v>W</v>
      </c>
      <c r="H148" s="5">
        <f t="shared" si="33"/>
        <v>-1.410721942486149</v>
      </c>
      <c r="I148">
        <v>0</v>
      </c>
      <c r="J148" t="str">
        <f t="shared" si="34"/>
        <v>W</v>
      </c>
      <c r="K148" s="5">
        <f t="shared" si="35"/>
        <v>-1.3705411361555693</v>
      </c>
      <c r="L148" s="5" t="s">
        <v>169</v>
      </c>
      <c r="M148" t="s">
        <v>169</v>
      </c>
    </row>
    <row r="149" spans="1:13" x14ac:dyDescent="0.25">
      <c r="A149" t="s">
        <v>12</v>
      </c>
      <c r="B149" s="1">
        <v>2007131</v>
      </c>
      <c r="C149">
        <v>12</v>
      </c>
      <c r="D149" t="str">
        <f t="shared" si="30"/>
        <v>W</v>
      </c>
      <c r="E149" s="5">
        <f t="shared" si="31"/>
        <v>-1.0139926074169818</v>
      </c>
      <c r="F149">
        <v>0</v>
      </c>
      <c r="G149" t="str">
        <f t="shared" si="32"/>
        <v>W</v>
      </c>
      <c r="H149" s="5">
        <f t="shared" si="33"/>
        <v>-1.410721942486149</v>
      </c>
      <c r="I149">
        <v>0</v>
      </c>
      <c r="J149" t="str">
        <f t="shared" si="34"/>
        <v>W</v>
      </c>
      <c r="K149" s="5">
        <f t="shared" si="35"/>
        <v>-1.3705411361555693</v>
      </c>
      <c r="L149" s="5" t="s">
        <v>169</v>
      </c>
      <c r="M149" t="s">
        <v>169</v>
      </c>
    </row>
    <row r="150" spans="1:13" x14ac:dyDescent="0.25">
      <c r="A150" t="s">
        <v>91</v>
      </c>
      <c r="B150" s="1">
        <v>2007315</v>
      </c>
      <c r="C150">
        <v>11</v>
      </c>
      <c r="D150" t="str">
        <f t="shared" si="30"/>
        <v>W</v>
      </c>
      <c r="E150" s="5">
        <f t="shared" si="31"/>
        <v>-1.0748695116560123</v>
      </c>
      <c r="F150">
        <v>0</v>
      </c>
      <c r="G150" t="str">
        <f t="shared" si="32"/>
        <v>W</v>
      </c>
      <c r="H150" s="5">
        <f t="shared" si="33"/>
        <v>-1.410721942486149</v>
      </c>
      <c r="I150">
        <v>0</v>
      </c>
      <c r="J150" t="str">
        <f t="shared" si="34"/>
        <v>W</v>
      </c>
      <c r="K150" s="5">
        <f t="shared" si="35"/>
        <v>-1.3705411361555693</v>
      </c>
      <c r="L150" s="5" t="s">
        <v>169</v>
      </c>
      <c r="M150" t="s">
        <v>169</v>
      </c>
    </row>
    <row r="151" spans="1:13" x14ac:dyDescent="0.25">
      <c r="A151" s="6" t="s">
        <v>154</v>
      </c>
      <c r="B151" s="7">
        <v>2007103</v>
      </c>
      <c r="C151" s="4">
        <v>0</v>
      </c>
      <c r="D151" t="str">
        <f t="shared" si="30"/>
        <v>W</v>
      </c>
      <c r="E151" s="5">
        <f t="shared" si="31"/>
        <v>-1.7445154582853488</v>
      </c>
      <c r="F151">
        <v>0</v>
      </c>
      <c r="G151" t="str">
        <f t="shared" si="32"/>
        <v>W</v>
      </c>
      <c r="H151" s="5">
        <f t="shared" si="33"/>
        <v>-1.410721942486149</v>
      </c>
      <c r="I151">
        <v>0</v>
      </c>
      <c r="J151" t="str">
        <f t="shared" si="34"/>
        <v>W</v>
      </c>
      <c r="K151" s="5">
        <f t="shared" si="35"/>
        <v>-1.3705411361555693</v>
      </c>
      <c r="L151" s="5" t="s">
        <v>169</v>
      </c>
      <c r="M151" t="s">
        <v>169</v>
      </c>
    </row>
    <row r="152" spans="1:13" x14ac:dyDescent="0.25">
      <c r="A152" t="s">
        <v>21</v>
      </c>
      <c r="B152" s="1">
        <v>2007142</v>
      </c>
      <c r="C152">
        <v>0</v>
      </c>
      <c r="D152" t="str">
        <f t="shared" si="30"/>
        <v>W</v>
      </c>
      <c r="E152" s="5">
        <f t="shared" si="31"/>
        <v>-1.7445154582853488</v>
      </c>
      <c r="F152">
        <v>0</v>
      </c>
      <c r="G152" t="str">
        <f t="shared" si="32"/>
        <v>W</v>
      </c>
      <c r="H152" s="5">
        <f t="shared" si="33"/>
        <v>-1.410721942486149</v>
      </c>
      <c r="I152">
        <v>0</v>
      </c>
      <c r="J152" t="str">
        <f t="shared" si="34"/>
        <v>W</v>
      </c>
      <c r="K152" s="5">
        <f t="shared" si="35"/>
        <v>-1.3705411361555693</v>
      </c>
      <c r="L152" s="5" t="s">
        <v>169</v>
      </c>
      <c r="M152" t="s">
        <v>169</v>
      </c>
    </row>
    <row r="153" spans="1:13" x14ac:dyDescent="0.25">
      <c r="A153" t="s">
        <v>34</v>
      </c>
      <c r="B153" s="1">
        <v>2007179</v>
      </c>
      <c r="C153">
        <v>0</v>
      </c>
      <c r="D153" t="str">
        <f t="shared" si="30"/>
        <v>W</v>
      </c>
      <c r="E153" s="5">
        <f t="shared" si="31"/>
        <v>-1.7445154582853488</v>
      </c>
      <c r="F153">
        <v>0</v>
      </c>
      <c r="G153" t="str">
        <f t="shared" si="32"/>
        <v>W</v>
      </c>
      <c r="H153" s="5">
        <f t="shared" si="33"/>
        <v>-1.410721942486149</v>
      </c>
      <c r="I153">
        <v>0</v>
      </c>
      <c r="J153" t="str">
        <f t="shared" si="34"/>
        <v>W</v>
      </c>
      <c r="K153" s="5">
        <f t="shared" si="35"/>
        <v>-1.3705411361555693</v>
      </c>
      <c r="L153" s="5" t="s">
        <v>169</v>
      </c>
      <c r="M153" t="s">
        <v>169</v>
      </c>
    </row>
    <row r="154" spans="1:13" x14ac:dyDescent="0.25">
      <c r="A154" t="s">
        <v>39</v>
      </c>
      <c r="B154" s="1">
        <v>2007199</v>
      </c>
      <c r="C154">
        <v>0</v>
      </c>
      <c r="D154" t="str">
        <f t="shared" si="30"/>
        <v>W</v>
      </c>
      <c r="E154" s="5">
        <f t="shared" si="31"/>
        <v>-1.7445154582853488</v>
      </c>
      <c r="F154">
        <v>0</v>
      </c>
      <c r="G154" t="str">
        <f t="shared" si="32"/>
        <v>W</v>
      </c>
      <c r="H154" s="5">
        <f t="shared" si="33"/>
        <v>-1.410721942486149</v>
      </c>
      <c r="I154">
        <v>0</v>
      </c>
      <c r="J154" t="str">
        <f t="shared" si="34"/>
        <v>W</v>
      </c>
      <c r="K154" s="5">
        <f t="shared" si="35"/>
        <v>-1.3705411361555693</v>
      </c>
      <c r="L154" s="5" t="s">
        <v>169</v>
      </c>
      <c r="M154" t="s">
        <v>169</v>
      </c>
    </row>
    <row r="155" spans="1:13" x14ac:dyDescent="0.25">
      <c r="A155" t="s">
        <v>40</v>
      </c>
      <c r="B155" s="1">
        <v>2007200</v>
      </c>
      <c r="C155">
        <v>0</v>
      </c>
      <c r="D155" t="str">
        <f t="shared" si="30"/>
        <v>W</v>
      </c>
      <c r="E155" s="5">
        <f t="shared" si="31"/>
        <v>-1.7445154582853488</v>
      </c>
      <c r="F155">
        <v>0</v>
      </c>
      <c r="G155" t="str">
        <f t="shared" si="32"/>
        <v>W</v>
      </c>
      <c r="H155" s="5">
        <f t="shared" si="33"/>
        <v>-1.410721942486149</v>
      </c>
      <c r="I155">
        <v>0</v>
      </c>
      <c r="J155" t="str">
        <f t="shared" si="34"/>
        <v>W</v>
      </c>
      <c r="K155" s="5">
        <f t="shared" si="35"/>
        <v>-1.3705411361555693</v>
      </c>
      <c r="L155" s="5" t="s">
        <v>169</v>
      </c>
      <c r="M155" t="s">
        <v>169</v>
      </c>
    </row>
    <row r="156" spans="1:13" x14ac:dyDescent="0.25">
      <c r="A156" t="s">
        <v>41</v>
      </c>
      <c r="B156" s="1">
        <v>2007201</v>
      </c>
      <c r="C156">
        <v>0</v>
      </c>
      <c r="D156" t="str">
        <f t="shared" si="30"/>
        <v>W</v>
      </c>
      <c r="E156" s="5">
        <f t="shared" si="31"/>
        <v>-1.7445154582853488</v>
      </c>
      <c r="F156">
        <v>0</v>
      </c>
      <c r="G156" t="str">
        <f t="shared" si="32"/>
        <v>W</v>
      </c>
      <c r="H156" s="5">
        <f t="shared" si="33"/>
        <v>-1.410721942486149</v>
      </c>
      <c r="I156">
        <v>0</v>
      </c>
      <c r="J156" t="str">
        <f t="shared" si="34"/>
        <v>W</v>
      </c>
      <c r="K156" s="5">
        <f t="shared" si="35"/>
        <v>-1.3705411361555693</v>
      </c>
      <c r="L156" s="5" t="s">
        <v>169</v>
      </c>
      <c r="M156" t="s">
        <v>169</v>
      </c>
    </row>
    <row r="157" spans="1:13" x14ac:dyDescent="0.25">
      <c r="A157" t="s">
        <v>46</v>
      </c>
      <c r="B157" s="1">
        <v>2007206</v>
      </c>
      <c r="C157">
        <v>0</v>
      </c>
      <c r="D157" t="str">
        <f t="shared" si="30"/>
        <v>W</v>
      </c>
      <c r="E157" s="5">
        <f t="shared" si="31"/>
        <v>-1.7445154582853488</v>
      </c>
      <c r="F157">
        <v>0</v>
      </c>
      <c r="G157" t="str">
        <f t="shared" si="32"/>
        <v>W</v>
      </c>
      <c r="H157" s="5">
        <f t="shared" si="33"/>
        <v>-1.410721942486149</v>
      </c>
      <c r="I157">
        <v>0</v>
      </c>
      <c r="J157" t="str">
        <f t="shared" si="34"/>
        <v>W</v>
      </c>
      <c r="K157" s="5">
        <f t="shared" si="35"/>
        <v>-1.3705411361555693</v>
      </c>
      <c r="L157" s="5" t="s">
        <v>169</v>
      </c>
      <c r="M157" t="s">
        <v>169</v>
      </c>
    </row>
    <row r="158" spans="1:13" x14ac:dyDescent="0.25">
      <c r="A158" t="s">
        <v>47</v>
      </c>
      <c r="B158" s="1">
        <v>2007207</v>
      </c>
      <c r="C158">
        <v>0</v>
      </c>
      <c r="D158" t="str">
        <f t="shared" si="30"/>
        <v>W</v>
      </c>
      <c r="E158" s="5">
        <f t="shared" si="31"/>
        <v>-1.7445154582853488</v>
      </c>
      <c r="F158">
        <v>0</v>
      </c>
      <c r="G158" t="str">
        <f t="shared" si="32"/>
        <v>W</v>
      </c>
      <c r="H158" s="5">
        <f t="shared" si="33"/>
        <v>-1.410721942486149</v>
      </c>
      <c r="I158">
        <v>0</v>
      </c>
      <c r="J158" t="str">
        <f t="shared" si="34"/>
        <v>W</v>
      </c>
      <c r="K158" s="5">
        <f t="shared" si="35"/>
        <v>-1.3705411361555693</v>
      </c>
      <c r="L158" s="5" t="s">
        <v>169</v>
      </c>
      <c r="M158" t="s">
        <v>169</v>
      </c>
    </row>
    <row r="159" spans="1:13" x14ac:dyDescent="0.25">
      <c r="A159" t="s">
        <v>49</v>
      </c>
      <c r="B159" s="1">
        <v>2007209</v>
      </c>
      <c r="C159">
        <v>0</v>
      </c>
      <c r="D159" t="str">
        <f t="shared" si="30"/>
        <v>W</v>
      </c>
      <c r="E159" s="5">
        <f t="shared" si="31"/>
        <v>-1.7445154582853488</v>
      </c>
      <c r="F159">
        <v>0</v>
      </c>
      <c r="G159" t="str">
        <f t="shared" si="32"/>
        <v>W</v>
      </c>
      <c r="H159" s="5">
        <f t="shared" si="33"/>
        <v>-1.410721942486149</v>
      </c>
      <c r="I159">
        <v>0</v>
      </c>
      <c r="J159" t="str">
        <f t="shared" si="34"/>
        <v>W</v>
      </c>
      <c r="K159" s="5">
        <f t="shared" si="35"/>
        <v>-1.3705411361555693</v>
      </c>
      <c r="L159" s="5" t="s">
        <v>169</v>
      </c>
      <c r="M159" t="s">
        <v>169</v>
      </c>
    </row>
    <row r="160" spans="1:13" x14ac:dyDescent="0.25">
      <c r="A160" t="s">
        <v>70</v>
      </c>
      <c r="B160" s="1">
        <v>2007253</v>
      </c>
      <c r="C160">
        <v>0</v>
      </c>
      <c r="D160" t="str">
        <f t="shared" si="30"/>
        <v>W</v>
      </c>
      <c r="E160" s="5">
        <f t="shared" si="31"/>
        <v>-1.7445154582853488</v>
      </c>
      <c r="F160">
        <v>0</v>
      </c>
      <c r="G160" t="str">
        <f t="shared" si="32"/>
        <v>W</v>
      </c>
      <c r="H160" s="5">
        <f t="shared" si="33"/>
        <v>-1.410721942486149</v>
      </c>
      <c r="I160">
        <v>0</v>
      </c>
      <c r="J160" t="str">
        <f t="shared" si="34"/>
        <v>W</v>
      </c>
      <c r="K160" s="5">
        <f t="shared" si="35"/>
        <v>-1.3705411361555693</v>
      </c>
      <c r="L160" s="5" t="s">
        <v>169</v>
      </c>
      <c r="M160" t="s">
        <v>169</v>
      </c>
    </row>
    <row r="161" spans="1:13" x14ac:dyDescent="0.25">
      <c r="A161" t="s">
        <v>78</v>
      </c>
      <c r="B161" s="1">
        <v>2007266</v>
      </c>
      <c r="C161">
        <v>0</v>
      </c>
      <c r="D161" t="str">
        <f t="shared" si="30"/>
        <v>W</v>
      </c>
      <c r="E161" s="5">
        <f t="shared" si="31"/>
        <v>-1.7445154582853488</v>
      </c>
      <c r="F161">
        <v>0</v>
      </c>
      <c r="G161" t="str">
        <f t="shared" si="32"/>
        <v>W</v>
      </c>
      <c r="H161" s="5">
        <f t="shared" si="33"/>
        <v>-1.410721942486149</v>
      </c>
      <c r="I161">
        <v>0</v>
      </c>
      <c r="J161" t="str">
        <f t="shared" si="34"/>
        <v>W</v>
      </c>
      <c r="K161" s="5">
        <f t="shared" si="35"/>
        <v>-1.3705411361555693</v>
      </c>
      <c r="L161" s="5" t="s">
        <v>169</v>
      </c>
      <c r="M161" t="s">
        <v>169</v>
      </c>
    </row>
    <row r="162" spans="1:13" x14ac:dyDescent="0.25">
      <c r="A162" t="s">
        <v>107</v>
      </c>
      <c r="B162" s="1">
        <v>2007335</v>
      </c>
      <c r="C162">
        <v>0</v>
      </c>
      <c r="D162" t="str">
        <f t="shared" ref="D162:D164" si="36">IF(C162="Absent","AB",IF(C162&gt;=67,"A",IF(C162&gt;=58,"B",IF(C162&gt;=43,"C",IF(C162&gt;=20,"S","W")))))</f>
        <v>W</v>
      </c>
      <c r="E162" s="5">
        <f t="shared" si="31"/>
        <v>-1.7445154582853488</v>
      </c>
      <c r="F162">
        <v>0</v>
      </c>
      <c r="G162" t="str">
        <f t="shared" ref="G162:G164" si="37">IF(F162="Absent","AB",IF(F162&gt;=67,"A",IF(F162&gt;=58,"B",IF(F162&gt;=43,"C",IF(F162&gt;=20,"S","W")))))</f>
        <v>W</v>
      </c>
      <c r="H162" s="5">
        <f t="shared" si="33"/>
        <v>-1.410721942486149</v>
      </c>
      <c r="I162">
        <v>0</v>
      </c>
      <c r="J162" t="str">
        <f t="shared" ref="J162:J164" si="38">IF(I162="Absent","AB",IF(I162&gt;=67,"A",IF(I162&gt;=58,"B",IF(I162&gt;=43,"C",IF(I162&gt;=20,"S","W")))))</f>
        <v>W</v>
      </c>
      <c r="K162" s="5">
        <f t="shared" si="35"/>
        <v>-1.3705411361555693</v>
      </c>
      <c r="L162" s="5" t="s">
        <v>169</v>
      </c>
      <c r="M162" t="s">
        <v>169</v>
      </c>
    </row>
    <row r="163" spans="1:13" x14ac:dyDescent="0.25">
      <c r="A163" t="s">
        <v>108</v>
      </c>
      <c r="B163" s="2">
        <v>2007337</v>
      </c>
      <c r="C163">
        <v>0</v>
      </c>
      <c r="D163" t="str">
        <f t="shared" si="36"/>
        <v>W</v>
      </c>
      <c r="E163" s="5">
        <f t="shared" si="31"/>
        <v>-1.7445154582853488</v>
      </c>
      <c r="F163">
        <v>0</v>
      </c>
      <c r="G163" t="str">
        <f t="shared" si="37"/>
        <v>W</v>
      </c>
      <c r="H163" s="5">
        <f t="shared" si="33"/>
        <v>-1.410721942486149</v>
      </c>
      <c r="I163">
        <v>0</v>
      </c>
      <c r="J163" t="str">
        <f t="shared" si="38"/>
        <v>W</v>
      </c>
      <c r="K163" s="5">
        <f t="shared" si="35"/>
        <v>-1.3705411361555693</v>
      </c>
      <c r="L163" s="5" t="s">
        <v>169</v>
      </c>
      <c r="M163" t="s">
        <v>169</v>
      </c>
    </row>
    <row r="164" spans="1:13" x14ac:dyDescent="0.25">
      <c r="A164" t="s">
        <v>142</v>
      </c>
      <c r="B164" s="2">
        <v>2007390</v>
      </c>
      <c r="C164">
        <v>0</v>
      </c>
      <c r="D164" t="str">
        <f t="shared" si="36"/>
        <v>W</v>
      </c>
      <c r="E164" s="5">
        <f t="shared" si="31"/>
        <v>-1.7445154582853488</v>
      </c>
      <c r="F164">
        <v>0</v>
      </c>
      <c r="G164" t="str">
        <f t="shared" si="37"/>
        <v>W</v>
      </c>
      <c r="H164" s="5">
        <f t="shared" si="33"/>
        <v>-1.410721942486149</v>
      </c>
      <c r="I164">
        <v>0</v>
      </c>
      <c r="J164" t="str">
        <f t="shared" si="38"/>
        <v>W</v>
      </c>
      <c r="K164" s="5">
        <f t="shared" si="35"/>
        <v>-1.3705411361555693</v>
      </c>
      <c r="L164" s="5" t="s">
        <v>169</v>
      </c>
      <c r="M164" t="s">
        <v>169</v>
      </c>
    </row>
  </sheetData>
  <sortState xmlns:xlrd2="http://schemas.microsoft.com/office/spreadsheetml/2017/richdata2" ref="A2:M164">
    <sortCondition ref="M2:M16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497A-1F1A-400D-ADC4-EE527AC26E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2026-06-06T04:12:19Z</dcterms:created>
  <dcterms:modified xsi:type="dcterms:W3CDTF">2026-06-16T13:42:16Z</dcterms:modified>
</cp:coreProperties>
</file>